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tables/table19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ables/table20.xml" ContentType="application/vnd.openxmlformats-officedocument.spreadsheetml.table+xml"/>
  <Override PartName="/xl/worksheets/sheet27.xml" ContentType="application/vnd.openxmlformats-officedocument.spreadsheetml.worksheet+xml"/>
  <Override PartName="/xl/tables/table21.xml" ContentType="application/vnd.openxmlformats-officedocument.spreadsheetml.table+xml"/>
  <Override PartName="/xl/worksheets/sheet28.xml" ContentType="application/vnd.openxmlformats-officedocument.spreadsheetml.worksheet+xml"/>
  <Override PartName="/xl/tables/table22.xml" ContentType="application/vnd.openxmlformats-officedocument.spreadsheetml.table+xml"/>
  <Override PartName="/xl/worksheets/sheet29.xml" ContentType="application/vnd.openxmlformats-officedocument.spreadsheetml.worksheet+xml"/>
  <Override PartName="/xl/tables/table23.xml" ContentType="application/vnd.openxmlformats-officedocument.spreadsheetml.table+xml"/>
  <Override PartName="/xl/worksheets/sheet30.xml" ContentType="application/vnd.openxmlformats-officedocument.spreadsheetml.worksheet+xml"/>
  <Override PartName="/xl/tables/table2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enu_Nav" sheetId="2" state="visible" r:id="rId2"/>
    <sheet xmlns:r="http://schemas.openxmlformats.org/officeDocument/2006/relationships" name="mst_Houses" sheetId="3" state="visible" r:id="rId3"/>
    <sheet xmlns:r="http://schemas.openxmlformats.org/officeDocument/2006/relationships" name="mst_Breeds" sheetId="4" state="visible" r:id="rId4"/>
    <sheet xmlns:r="http://schemas.openxmlformats.org/officeDocument/2006/relationships" name="mst_FeedTypes" sheetId="5" state="visible" r:id="rId5"/>
    <sheet xmlns:r="http://schemas.openxmlformats.org/officeDocument/2006/relationships" name="mst_Suppliers" sheetId="6" state="visible" r:id="rId6"/>
    <sheet xmlns:r="http://schemas.openxmlformats.org/officeDocument/2006/relationships" name="mst_Customers" sheetId="7" state="visible" r:id="rId7"/>
    <sheet xmlns:r="http://schemas.openxmlformats.org/officeDocument/2006/relationships" name="mst_Vaccines_Meds" sheetId="8" state="visible" r:id="rId8"/>
    <sheet xmlns:r="http://schemas.openxmlformats.org/officeDocument/2006/relationships" name="mst_Users" sheetId="9" state="visible" r:id="rId9"/>
    <sheet xmlns:r="http://schemas.openxmlformats.org/officeDocument/2006/relationships" name="mst_Settings" sheetId="10" state="visible" r:id="rId10"/>
    <sheet xmlns:r="http://schemas.openxmlformats.org/officeDocument/2006/relationships" name="mst_Lists" sheetId="11" state="visible" r:id="rId11"/>
    <sheet xmlns:r="http://schemas.openxmlformats.org/officeDocument/2006/relationships" name="reg_Flocks" sheetId="12" state="visible" r:id="rId12"/>
    <sheet xmlns:r="http://schemas.openxmlformats.org/officeDocument/2006/relationships" name="reg_DailyMortality" sheetId="13" state="visible" r:id="rId13"/>
    <sheet xmlns:r="http://schemas.openxmlformats.org/officeDocument/2006/relationships" name="reg_FeedConsumption" sheetId="14" state="visible" r:id="rId14"/>
    <sheet xmlns:r="http://schemas.openxmlformats.org/officeDocument/2006/relationships" name="reg_WeeklyWeights" sheetId="15" state="visible" r:id="rId15"/>
    <sheet xmlns:r="http://schemas.openxmlformats.org/officeDocument/2006/relationships" name="reg_Vaccination_Health" sheetId="16" state="visible" r:id="rId16"/>
    <sheet xmlns:r="http://schemas.openxmlformats.org/officeDocument/2006/relationships" name="reg_Sales_Dispatch" sheetId="17" state="visible" r:id="rId17"/>
    <sheet xmlns:r="http://schemas.openxmlformats.org/officeDocument/2006/relationships" name="reg_Expenses" sheetId="18" state="visible" r:id="rId18"/>
    <sheet xmlns:r="http://schemas.openxmlformats.org/officeDocument/2006/relationships" name="reg_EnvironmentReadings" sheetId="19" state="visible" r:id="rId19"/>
    <sheet xmlns:r="http://schemas.openxmlformats.org/officeDocument/2006/relationships" name="reg_OtherIncome" sheetId="20" state="visible" r:id="rId20"/>
    <sheet xmlns:r="http://schemas.openxmlformats.org/officeDocument/2006/relationships" name="calc_KPI_Engine" sheetId="21" state="visible" r:id="rId21"/>
    <sheet xmlns:r="http://schemas.openxmlformats.org/officeDocument/2006/relationships" name="Log_Audit" sheetId="22" state="veryHidden" r:id="rId22"/>
    <sheet xmlns:r="http://schemas.openxmlformats.org/officeDocument/2006/relationships" name="rpt_FlockPerformance" sheetId="23" state="visible" r:id="rId23"/>
    <sheet xmlns:r="http://schemas.openxmlformats.org/officeDocument/2006/relationships" name="rpt_FinancialSummary" sheetId="24" state="visible" r:id="rId24"/>
    <sheet xmlns:r="http://schemas.openxmlformats.org/officeDocument/2006/relationships" name="rpt_MortalityTrend" sheetId="25" state="visible" r:id="rId25"/>
    <sheet xmlns:r="http://schemas.openxmlformats.org/officeDocument/2006/relationships" name="mst_Employees" sheetId="26" state="visible" r:id="rId26"/>
    <sheet xmlns:r="http://schemas.openxmlformats.org/officeDocument/2006/relationships" name="reg_DailyRoutine" sheetId="27" state="visible" r:id="rId27"/>
    <sheet xmlns:r="http://schemas.openxmlformats.org/officeDocument/2006/relationships" name="reg_FeedPurchases" sheetId="28" state="visible" r:id="rId28"/>
    <sheet xmlns:r="http://schemas.openxmlformats.org/officeDocument/2006/relationships" name="calc_FeedStockSummary" sheetId="29" state="visible" r:id="rId29"/>
    <sheet xmlns:r="http://schemas.openxmlformats.org/officeDocument/2006/relationships" name="reg_MedicineStock" sheetId="30" state="visible" r:id="rId30"/>
  </sheets>
  <definedNames>
    <definedName name="HouseID_List">'mst_Houses'!$A$2:$A$24</definedName>
    <definedName name="BreedID_List">'mst_Breeds'!$A$2:$A$23</definedName>
    <definedName name="FeedID_List">'mst_FeedTypes'!$A$2:$A$23</definedName>
    <definedName name="SupplierID_List">'mst_Suppliers'!$A$2:$A$24</definedName>
    <definedName name="CustomerID_List">'mst_Customers'!$A$2:$A$23</definedName>
    <definedName name="ProductID_List">'mst_Vaccines_Meds'!$A$2:$A$24</definedName>
    <definedName name="UserName_List">'mst_Users'!$B$2:$B$23</definedName>
    <definedName name="FlockID_List">'reg_Flocks'!$A$2:$A$24</definedName>
    <definedName name="List_PaymentMethod">'mst_Lists'!$A$2:$A$15</definedName>
    <definedName name="List_LitterCondition">'mst_Lists'!$B$2:$B$15</definedName>
    <definedName name="List_Ventilation">'mst_Lists'!$C$2:$C$15</definedName>
    <definedName name="List_ExpenseCategory">'mst_Lists'!$D$2:$D$15</definedName>
    <definedName name="List_YesNo">'mst_Lists'!$E$2:$E$15</definedName>
    <definedName name="List_MortalityCause">'mst_Lists'!$F$2:$F$15</definedName>
    <definedName name="List_VaccinationRoute">'mst_Lists'!$G$2:$G$15</definedName>
    <definedName name="EmployeeID_List">'mst_Employees'!$A$2:$A$24</definedName>
    <definedName name="_xlnm.Print_Area" localSheetId="22">'rpt_FlockPerformance'!$A$1:$F$31</definedName>
    <definedName name="_xlnm.Print_Area" localSheetId="23">'rpt_FinancialSummary'!$A$1:$H$11</definedName>
    <definedName name="_xlnm.Print_Area" localSheetId="24">'rpt_MortalityTrend'!$A$1:$D$31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#,##0.0"/>
    <numFmt numFmtId="167" formatCode="0.0"/>
    <numFmt numFmtId="168" formatCode="0.0%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8"/>
    </font>
    <font>
      <name val="Arial"/>
      <i val="1"/>
      <color rgb="00595959"/>
      <sz val="10"/>
    </font>
    <font>
      <name val="Arial"/>
      <b val="1"/>
      <color rgb="00FFFFFF"/>
      <sz val="20"/>
    </font>
    <font>
      <name val="Arial"/>
      <i val="1"/>
      <color rgb="00FFFFFF"/>
      <sz val="9"/>
    </font>
    <font>
      <name val="Arial"/>
      <b val="1"/>
      <color rgb="001F3864"/>
      <sz val="12"/>
    </font>
    <font>
      <name val="Arial"/>
      <color rgb="000563C1"/>
      <sz val="10"/>
      <u val="single"/>
    </font>
    <font>
      <name val="Arial"/>
      <i val="1"/>
      <color rgb="007F7F7F"/>
      <sz val="9"/>
    </font>
    <font>
      <name val="Arial"/>
      <b val="1"/>
      <color rgb="001F3864"/>
      <sz val="13"/>
    </font>
    <font>
      <name val="Arial"/>
      <b val="1"/>
      <sz val="10"/>
    </font>
    <font>
      <name val="Arial"/>
      <b val="1"/>
      <color rgb="00C00000"/>
      <sz val="11"/>
    </font>
    <font>
      <name val="Arial"/>
      <b val="1"/>
      <color rgb="001F3864"/>
      <sz val="10"/>
    </font>
  </fonts>
  <fills count="14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8EA9DB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7030A0"/>
      </patternFill>
    </fill>
    <fill>
      <patternFill patternType="solid">
        <fgColor rgb="00FFF2CC"/>
      </patternFill>
    </fill>
    <fill>
      <patternFill patternType="solid">
        <fgColor rgb="00E2D3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1" fillId="2" borderId="1" pivotButton="0" quotePrefix="0" xfId="0"/>
    <xf numFmtId="0" fontId="1" fillId="3" borderId="1" applyAlignment="1" pivotButton="0" quotePrefix="0" xfId="0">
      <alignment horizontal="center" vertical="center" wrapText="1"/>
    </xf>
    <xf numFmtId="165" fontId="2" fillId="0" borderId="1" pivotButton="0" quotePrefix="0" xfId="0"/>
    <xf numFmtId="3" fontId="2" fillId="0" borderId="1" pivotButton="0" quotePrefix="0" xfId="0"/>
    <xf numFmtId="166" fontId="2" fillId="0" borderId="1" pivotButton="0" quotePrefix="0" xfId="0"/>
    <xf numFmtId="167" fontId="2" fillId="0" borderId="1" pivotButton="0" quotePrefix="0" xfId="0"/>
    <xf numFmtId="1" fontId="2" fillId="0" borderId="1" pivotButton="0" quotePrefix="0" xfId="0"/>
    <xf numFmtId="0" fontId="1" fillId="4" borderId="1" applyAlignment="1" pivotButton="0" quotePrefix="0" xfId="0">
      <alignment horizontal="center" vertical="center" wrapText="1"/>
    </xf>
    <xf numFmtId="168" fontId="2" fillId="0" borderId="1" pivotButton="0" quotePrefix="0" xfId="0"/>
    <xf numFmtId="2" fontId="2" fillId="0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indent="2"/>
    </xf>
    <xf numFmtId="0" fontId="0" fillId="6" borderId="0" pivotButton="0" quotePrefix="0" xfId="0"/>
    <xf numFmtId="0" fontId="4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168" fontId="5" fillId="6" borderId="0" applyAlignment="1" pivotButton="0" quotePrefix="0" xfId="0">
      <alignment horizontal="center" vertical="center"/>
    </xf>
    <xf numFmtId="2" fontId="5" fillId="6" borderId="0" applyAlignment="1" pivotButton="0" quotePrefix="0" xfId="0">
      <alignment horizontal="center" vertical="center"/>
    </xf>
    <xf numFmtId="167" fontId="5" fillId="6" borderId="0" applyAlignment="1" pivotButton="0" quotePrefix="0" xfId="0">
      <alignment horizontal="center" vertical="center"/>
    </xf>
    <xf numFmtId="10" fontId="5" fillId="6" borderId="0" applyAlignment="1" pivotButton="0" quotePrefix="0" xfId="0">
      <alignment horizontal="center" vertical="center"/>
    </xf>
    <xf numFmtId="4" fontId="5" fillId="6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7" fillId="0" borderId="0" pivotButton="0" quotePrefix="0" xfId="0"/>
    <xf numFmtId="0" fontId="1" fillId="6" borderId="1" applyAlignment="1" pivotButton="0" quotePrefix="0" xfId="0">
      <alignment horizontal="center" vertical="center" wrapText="1"/>
    </xf>
    <xf numFmtId="0" fontId="2" fillId="9" borderId="1" pivotButton="0" quotePrefix="0" xfId="0"/>
    <xf numFmtId="168" fontId="2" fillId="9" borderId="1" pivotButton="0" quotePrefix="0" xfId="0"/>
    <xf numFmtId="2" fontId="2" fillId="9" borderId="1" pivotButton="0" quotePrefix="0" xfId="0"/>
    <xf numFmtId="167" fontId="2" fillId="9" borderId="1" pivotButton="0" quotePrefix="0" xfId="0"/>
    <xf numFmtId="4" fontId="2" fillId="9" borderId="1" pivotButton="0" quotePrefix="0" xfId="0"/>
    <xf numFmtId="0" fontId="1" fillId="10" borderId="1" pivotButton="0" quotePrefix="0" xfId="0"/>
    <xf numFmtId="0" fontId="1" fillId="6" borderId="1" pivotButton="0" quotePrefix="0" xfId="0"/>
    <xf numFmtId="0" fontId="8" fillId="0" borderId="1" pivotButton="0" quotePrefix="0" xfId="0"/>
    <xf numFmtId="0" fontId="8" fillId="9" borderId="1" pivotButton="0" quotePrefix="0" xfId="0"/>
    <xf numFmtId="0" fontId="9" fillId="0" borderId="0" pivotButton="0" quotePrefix="0" xfId="0"/>
    <xf numFmtId="0" fontId="3" fillId="11" borderId="0" applyAlignment="1" pivotButton="0" quotePrefix="0" xfId="0">
      <alignment horizontal="left" vertical="center" indent="2"/>
    </xf>
    <xf numFmtId="0" fontId="0" fillId="11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12" borderId="1" pivotButton="0" quotePrefix="0" xfId="0"/>
    <xf numFmtId="0" fontId="1" fillId="11" borderId="1" pivotButton="0" quotePrefix="0" xfId="0"/>
    <xf numFmtId="0" fontId="11" fillId="0" borderId="1" pivotButton="0" quotePrefix="0" xfId="0"/>
    <xf numFmtId="0" fontId="11" fillId="9" borderId="1" pivotButton="0" quotePrefix="0" xfId="0"/>
    <xf numFmtId="3" fontId="2" fillId="9" borderId="1" pivotButton="0" quotePrefix="0" xfId="0"/>
    <xf numFmtId="0" fontId="1" fillId="11" borderId="1" applyAlignment="1" pivotButton="0" quotePrefix="0" xfId="0">
      <alignment horizontal="center" vertical="center" wrapText="1"/>
    </xf>
    <xf numFmtId="0" fontId="11" fillId="13" borderId="1" pivotButton="0" quotePrefix="0" xfId="0"/>
    <xf numFmtId="0" fontId="0" fillId="13" borderId="1" pivotButton="0" quotePrefix="0" xfId="0"/>
    <xf numFmtId="4" fontId="11" fillId="13" borderId="1" pivotButton="0" quotePrefix="0" xfId="0"/>
    <xf numFmtId="165" fontId="0" fillId="0" borderId="0" pivotButton="0" quotePrefix="0" xfId="0"/>
    <xf numFmtId="3" fontId="0" fillId="0" borderId="0" pivotButton="0" quotePrefix="0" xfId="0"/>
    <xf numFmtId="168" fontId="0" fillId="0" borderId="0" pivotButton="0" quotePrefix="0" xfId="0"/>
    <xf numFmtId="0" fontId="1" fillId="11" borderId="1" applyAlignment="1" pivotButton="0" quotePrefix="0" xfId="0">
      <alignment horizontal="center" wrapText="1"/>
    </xf>
    <xf numFmtId="3" fontId="0" fillId="0" borderId="1" pivotButton="0" quotePrefix="0" xfId="0"/>
    <xf numFmtId="3" fontId="0" fillId="9" borderId="1" pivotButton="0" quotePrefix="0" xfId="0"/>
    <xf numFmtId="165" fontId="2" fillId="9" borderId="1" pivotButton="0" quotePrefix="0" xfId="0"/>
    <xf numFmtId="0" fontId="13" fillId="0" borderId="0" pivotButton="0" quotePrefix="0" xfId="0"/>
  </cellXfs>
  <cellStyles count="1">
    <cellStyle name="Normal" xfId="0" builtinId="0" hidden="0"/>
  </cellStyles>
  <dxfs count="2">
    <dxf>
      <font>
        <color rgb="009C0006"/>
      </font>
      <fill>
        <patternFill patternType="solid">
          <fgColor rgb="00FFC7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FCR by Flock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'Dashboard'!G10</f>
            </strRef>
          </tx>
          <spPr>
            <a:solidFill xmlns:a="http://schemas.openxmlformats.org/drawingml/2006/main">
              <a:srgbClr val="C55A11"/>
            </a:solidFill>
            <a:ln xmlns:a="http://schemas.openxmlformats.org/drawingml/2006/main">
              <a:prstDash val="solid"/>
            </a:ln>
          </spPr>
          <cat>
            <numRef>
              <f>'Dashboard'!$A$11:$A$14</f>
            </numRef>
          </cat>
          <val>
            <numRef>
              <f>'Dashboard'!$G$11:$G$14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Flock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FCR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Livability % by Flock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'Dashboard'!F10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>
              <a:prstDash val="solid"/>
            </a:ln>
          </spPr>
          <cat>
            <numRef>
              <f>'Dashboard'!$A$11:$A$14</f>
            </numRef>
          </cat>
          <val>
            <numRef>
              <f>'Dashboard'!$F$11:$F$14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Flock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Livability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per Bird (ZMW) by Flock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'Dashboard'!I10</f>
            </strRef>
          </tx>
          <spPr>
            <a:solidFill xmlns:a="http://schemas.openxmlformats.org/drawingml/2006/main">
              <a:srgbClr val="7030A0"/>
            </a:solidFill>
            <a:ln xmlns:a="http://schemas.openxmlformats.org/drawingml/2006/main">
              <a:prstDash val="solid"/>
            </a:ln>
          </spPr>
          <cat>
            <numRef>
              <f>'Dashboard'!$A$11:$A$14</f>
            </numRef>
          </cat>
          <val>
            <numRef>
              <f>'Dashboard'!$I$11:$I$14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Flock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ZMW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43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17</row>
      <rowOff>0</rowOff>
    </from>
    <ext cx="432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17</row>
      <rowOff>0</rowOff>
    </from>
    <ext cx="432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st_Houses" displayName="mst_Houses" ref="A1:E5" headerRowCount="1">
  <autoFilter ref="A1:E5"/>
  <tableColumns count="5">
    <tableColumn id="1" name="HouseID"/>
    <tableColumn id="2" name="HouseCode"/>
    <tableColumn id="3" name="Capacity"/>
    <tableColumn id="4" name="LocationZone"/>
    <tableColumn id="5" name="Status"/>
  </tableColumns>
  <tableStyleInfo name="TableStyleMedium9" showFirstColumn="0" showRowStripes="1"/>
</table>
</file>

<file path=xl/tables/table2.xml><?xml version="1.0" encoding="utf-8"?>
<table xmlns="http://schemas.openxmlformats.org/spreadsheetml/2006/main" id="2" name="mst_Breeds" displayName="mst_Breeds" ref="A1:D4" headerRowCount="1">
  <autoFilter ref="A1:D4"/>
  <tableColumns count="4">
    <tableColumn id="1" name="BreedID"/>
    <tableColumn id="2" name="BreedName"/>
    <tableColumn id="3" name="StandardFCR"/>
    <tableColumn id="4" name="StandardADG_g"/>
  </tableColumns>
  <tableStyleInfo name="TableStyleMedium9" showFirstColumn="0" showRowStripes="1"/>
</table>
</file>

<file path=xl/tables/table3.xml><?xml version="1.0" encoding="utf-8"?>
<table xmlns="http://schemas.openxmlformats.org/spreadsheetml/2006/main" id="3" name="mst_FeedTypes" displayName="mst_FeedTypes" ref="A1:F4" headerRowCount="1">
  <autoFilter ref="A1:F4"/>
  <tableColumns count="6">
    <tableColumn id="1" name="FeedID"/>
    <tableColumn id="2" name="FeedName"/>
    <tableColumn id="3" name="Stage"/>
    <tableColumn id="4" name="UnitCostPerKg_ZMW"/>
    <tableColumn id="5" name="StandardBagWeightKg"/>
    <tableColumn id="6" name="MinStockKg"/>
  </tableColumns>
  <tableStyleInfo name="TableStyleMedium9" showFirstColumn="0" showRowStripes="1"/>
</table>
</file>

<file path=xl/tables/table4.xml><?xml version="1.0" encoding="utf-8"?>
<table xmlns="http://schemas.openxmlformats.org/spreadsheetml/2006/main" id="4" name="mst_Suppliers" displayName="mst_Suppliers" ref="A1:F5" headerRowCount="1">
  <autoFilter ref="A1:F5"/>
  <tableColumns count="6">
    <tableColumn id="1" name="SupplierID"/>
    <tableColumn id="2" name="SupplierName"/>
    <tableColumn id="3" name="Contact"/>
    <tableColumn id="4" name="Email"/>
    <tableColumn id="5" name="Category"/>
    <tableColumn id="6" name="LeadTimeDays"/>
  </tableColumns>
  <tableStyleInfo name="TableStyleMedium9" showFirstColumn="0" showRowStripes="1"/>
</table>
</file>

<file path=xl/tables/table5.xml><?xml version="1.0" encoding="utf-8"?>
<table xmlns="http://schemas.openxmlformats.org/spreadsheetml/2006/main" id="5" name="mst_Customers" displayName="mst_Customers" ref="A1:F4" headerRowCount="1">
  <autoFilter ref="A1:F4"/>
  <tableColumns count="6">
    <tableColumn id="1" name="CustomerID"/>
    <tableColumn id="2" name="CustomerName"/>
    <tableColumn id="3" name="Contact"/>
    <tableColumn id="4" name="Address"/>
    <tableColumn id="5" name="PriceTier"/>
    <tableColumn id="6" name="PaymentTerms"/>
  </tableColumns>
  <tableStyleInfo name="TableStyleMedium9" showFirstColumn="0" showRowStripes="1"/>
</table>
</file>

<file path=xl/tables/table6.xml><?xml version="1.0" encoding="utf-8"?>
<table xmlns="http://schemas.openxmlformats.org/spreadsheetml/2006/main" id="6" name="mst_Vaccines_Meds" displayName="mst_Vaccines_Meds" ref="A1:E5" headerRowCount="1">
  <autoFilter ref="A1:E5"/>
  <tableColumns count="5">
    <tableColumn id="1" name="ProductID"/>
    <tableColumn id="2" name="ProductName"/>
    <tableColumn id="3" name="Type"/>
    <tableColumn id="4" name="DosageUnit"/>
    <tableColumn id="5" name="WithdrawalDays"/>
  </tableColumns>
  <tableStyleInfo name="TableStyleMedium9" showFirstColumn="0" showRowStripes="1"/>
</table>
</file>

<file path=xl/tables/table7.xml><?xml version="1.0" encoding="utf-8"?>
<table xmlns="http://schemas.openxmlformats.org/spreadsheetml/2006/main" id="7" name="mst_Users" displayName="mst_Users" ref="A1:C4" headerRowCount="1">
  <autoFilter ref="A1:C4"/>
  <tableColumns count="3">
    <tableColumn id="1" name="UserID"/>
    <tableColumn id="2" name="UserName"/>
    <tableColumn id="3" name="Role"/>
  </tableColumns>
  <tableStyleInfo name="TableStyleMedium9" showFirstColumn="0" showRowStripes="1"/>
</table>
</file>

<file path=xl/tables/table8.xml><?xml version="1.0" encoding="utf-8"?>
<table xmlns="http://schemas.openxmlformats.org/spreadsheetml/2006/main" id="8" name="mst_Settings" displayName="mst_Settings" ref="A1:B12" headerRowCount="1">
  <autoFilter ref="A1:B12"/>
  <tableColumns count="2">
    <tableColumn id="1" name="Parameter"/>
    <tableColumn id="2" name="Value"/>
  </tableColumns>
  <tableStyleInfo name="TableStyleMedium9" showFirstColumn="0" showRowStripes="1"/>
</table>
</file>

<file path=xl/tables/table9.xml><?xml version="1.0" encoding="utf-8"?>
<table xmlns="http://schemas.openxmlformats.org/spreadsheetml/2006/main" id="9" name="reg_Flocks" displayName="reg_Flocks" ref="A1:H5" headerRowCount="1">
  <autoFilter ref="A1:H5"/>
  <tableColumns count="8">
    <tableColumn id="1" name="FlockID"/>
    <tableColumn id="2" name="HouseID"/>
    <tableColumn id="3" name="BreedID"/>
    <tableColumn id="4" name="PlacedDate"/>
    <tableColumn id="5" name="InitialBirdCount"/>
    <tableColumn id="6" name="SupplierID"/>
    <tableColumn id="7" name="ExpectedDispatchDate"/>
    <tableColumn id="8" name="Status"/>
  </tableColumns>
  <tableStyleInfo name="TableStyleMedium9" showFirstColumn="0" showRowStripes="1"/>
</table>
</file>

<file path=xl/tables/table10.xml><?xml version="1.0" encoding="utf-8"?>
<table xmlns="http://schemas.openxmlformats.org/spreadsheetml/2006/main" id="10" name="reg_DailyMortality" displayName="reg_DailyMortality" ref="A1:H32" headerRowCount="1">
  <autoFilter ref="A1:H32"/>
  <tableColumns count="8">
    <tableColumn id="1" name="EntryID"/>
    <tableColumn id="2" name="FlockID"/>
    <tableColumn id="3" name="Date"/>
    <tableColumn id="4" name="MortalityCount"/>
    <tableColumn id="5" name="Cause"/>
    <tableColumn id="6" name="CumulativeMortality"/>
    <tableColumn id="7" name="EnteredBy"/>
    <tableColumn id="8" name="IsActive"/>
  </tableColumns>
  <tableStyleInfo name="TableStyleMedium9" showFirstColumn="0" showRowStripes="1"/>
</table>
</file>

<file path=xl/tables/table11.xml><?xml version="1.0" encoding="utf-8"?>
<table xmlns="http://schemas.openxmlformats.org/spreadsheetml/2006/main" id="11" name="reg_FeedConsumption" displayName="reg_FeedConsumption" ref="A1:I28" headerRowCount="1">
  <autoFilter ref="A1:I28"/>
  <tableColumns count="9">
    <tableColumn id="1" name="EntryID"/>
    <tableColumn id="2" name="FlockID"/>
    <tableColumn id="3" name="Date"/>
    <tableColumn id="4" name="FeedID"/>
    <tableColumn id="5" name="KgUsed"/>
    <tableColumn id="6" name="CostZMW"/>
    <tableColumn id="7" name="RunningTotalKg"/>
    <tableColumn id="8" name="EnteredBy"/>
    <tableColumn id="9" name="IsActive"/>
  </tableColumns>
  <tableStyleInfo name="TableStyleMedium9" showFirstColumn="0" showRowStripes="1"/>
</table>
</file>

<file path=xl/tables/table12.xml><?xml version="1.0" encoding="utf-8"?>
<table xmlns="http://schemas.openxmlformats.org/spreadsheetml/2006/main" id="12" name="reg_WeeklyWeights" displayName="reg_WeeklyWeights" ref="A1:J17" headerRowCount="1">
  <autoFilter ref="A1:J17"/>
  <tableColumns count="10">
    <tableColumn id="1" name="EntryID"/>
    <tableColumn id="2" name="FlockID"/>
    <tableColumn id="3" name="Date"/>
    <tableColumn id="4" name="WeekNo"/>
    <tableColumn id="5" name="SampleSize"/>
    <tableColumn id="6" name="AvgBodyWeightG"/>
    <tableColumn id="7" name="AgeDays"/>
    <tableColumn id="8" name="ADG_g"/>
    <tableColumn id="9" name="EnteredBy"/>
    <tableColumn id="10" name="IsActive"/>
  </tableColumns>
  <tableStyleInfo name="TableStyleMedium9" showFirstColumn="0" showRowStripes="1"/>
</table>
</file>

<file path=xl/tables/table13.xml><?xml version="1.0" encoding="utf-8"?>
<table xmlns="http://schemas.openxmlformats.org/spreadsheetml/2006/main" id="13" name="reg_Vaccination_Health" displayName="reg_Vaccination_Health" ref="A1:J13" headerRowCount="1">
  <autoFilter ref="A1:J13"/>
  <tableColumns count="10">
    <tableColumn id="1" name="EntryID"/>
    <tableColumn id="2" name="FlockID"/>
    <tableColumn id="3" name="Date"/>
    <tableColumn id="4" name="ProductID"/>
    <tableColumn id="5" name="DosageGiven"/>
    <tableColumn id="6" name="Route"/>
    <tableColumn id="7" name="AdministeredBy"/>
    <tableColumn id="8" name="IsActive"/>
    <tableColumn id="9" name="RankInFlock"/>
    <tableColumn id="10" name="CompositeKey"/>
  </tableColumns>
  <tableStyleInfo name="TableStyleMedium9" showFirstColumn="0" showRowStripes="1"/>
</table>
</file>

<file path=xl/tables/table14.xml><?xml version="1.0" encoding="utf-8"?>
<table xmlns="http://schemas.openxmlformats.org/spreadsheetml/2006/main" id="14" name="reg_Sales_Dispatch" displayName="reg_Sales_Dispatch" ref="A1:O3" headerRowCount="1">
  <autoFilter ref="A1:O3"/>
  <tableColumns count="15">
    <tableColumn id="1" name="EntryID"/>
    <tableColumn id="2" name="FlockID"/>
    <tableColumn id="3" name="Date"/>
    <tableColumn id="4" name="CustomerID"/>
    <tableColumn id="5" name="BirdsDispatched"/>
    <tableColumn id="6" name="TotalLiveWeightKg"/>
    <tableColumn id="7" name="PricePerKg_ZMW"/>
    <tableColumn id="8" name="PricePerBird_ZMW"/>
    <tableColumn id="9" name="TransportCost_ZMW"/>
    <tableColumn id="10" name="TotalValue_ZMW"/>
    <tableColumn id="11" name="AmountPaid_ZMW"/>
    <tableColumn id="12" name="OutstandingBalance_ZMW"/>
    <tableColumn id="13" name="InvoiceNo"/>
    <tableColumn id="14" name="EnteredBy"/>
    <tableColumn id="15" name="IsActive"/>
  </tableColumns>
  <tableStyleInfo name="TableStyleMedium9" showFirstColumn="0" showRowStripes="1"/>
</table>
</file>

<file path=xl/tables/table15.xml><?xml version="1.0" encoding="utf-8"?>
<table xmlns="http://schemas.openxmlformats.org/spreadsheetml/2006/main" id="15" name="reg_Expenses" displayName="reg_Expenses" ref="A1:M16" headerRowCount="1">
  <autoFilter ref="A1:M16"/>
  <tableColumns count="13">
    <tableColumn id="1" name="EntryID"/>
    <tableColumn id="2" name="FlockID"/>
    <tableColumn id="3" name="Date"/>
    <tableColumn id="4" name="ExpenseCategory"/>
    <tableColumn id="5" name="SupplierID"/>
    <tableColumn id="6" name="Quantity"/>
    <tableColumn id="7" name="UnitCost_ZMW"/>
    <tableColumn id="8" name="Amount_ZMW"/>
    <tableColumn id="9" name="PaymentMethod"/>
    <tableColumn id="10" name="PaymentRef"/>
    <tableColumn id="11" name="ApprovedBy"/>
    <tableColumn id="12" name="EnteredBy"/>
    <tableColumn id="13" name="IsActive"/>
  </tableColumns>
  <tableStyleInfo name="TableStyleMedium9" showFirstColumn="0" showRowStripes="1"/>
</table>
</file>

<file path=xl/tables/table16.xml><?xml version="1.0" encoding="utf-8"?>
<table xmlns="http://schemas.openxmlformats.org/spreadsheetml/2006/main" id="16" name="reg_EnvironmentReadings" displayName="reg_EnvironmentReadings" ref="A1:I26" headerRowCount="1">
  <autoFilter ref="A1:I26"/>
  <tableColumns count="9">
    <tableColumn id="1" name="EntryID"/>
    <tableColumn id="2" name="HouseID"/>
    <tableColumn id="3" name="Date"/>
    <tableColumn id="4" name="Time"/>
    <tableColumn id="5" name="TemperatureC"/>
    <tableColumn id="6" name="HumidityPct"/>
    <tableColumn id="7" name="AmmoniaPPM"/>
    <tableColumn id="8" name="EnteredBy"/>
    <tableColumn id="9" name="IsActive"/>
  </tableColumns>
  <tableStyleInfo name="TableStyleMedium9" showFirstColumn="0" showRowStripes="1"/>
</table>
</file>

<file path=xl/tables/table17.xml><?xml version="1.0" encoding="utf-8"?>
<table xmlns="http://schemas.openxmlformats.org/spreadsheetml/2006/main" id="17" name="reg_OtherIncome" displayName="reg_OtherIncome" ref="A1:H4" headerRowCount="1">
  <autoFilter ref="A1:H4"/>
  <tableColumns count="8">
    <tableColumn id="1" name="EntryID"/>
    <tableColumn id="2" name="Date"/>
    <tableColumn id="3" name="Source"/>
    <tableColumn id="4" name="Description"/>
    <tableColumn id="5" name="Amount_ZMW"/>
    <tableColumn id="6" name="PaymentMethod"/>
    <tableColumn id="7" name="ReceivedBy"/>
    <tableColumn id="8" name="IsActive"/>
  </tableColumns>
  <tableStyleInfo name="TableStyleMedium9" showFirstColumn="0" showRowStripes="1"/>
</table>
</file>

<file path=xl/tables/table18.xml><?xml version="1.0" encoding="utf-8"?>
<table xmlns="http://schemas.openxmlformats.org/spreadsheetml/2006/main" id="18" name="calc_KPI_Engine" displayName="calc_KPI_Engine" ref="A1:X31" headerRowCount="1">
  <autoFilter ref="A1:X31"/>
  <tableColumns count="24">
    <tableColumn id="1" name="FlockID"/>
    <tableColumn id="2" name="HouseCode"/>
    <tableColumn id="3" name="BreedName"/>
    <tableColumn id="4" name="PlacedDate"/>
    <tableColumn id="5" name="Status"/>
    <tableColumn id="6" name="DaysOnFarm"/>
    <tableColumn id="7" name="InitialBirds"/>
    <tableColumn id="8" name="TotalMortality"/>
    <tableColumn id="9" name="CurrentBirds"/>
    <tableColumn id="10" name="LivabilityPct"/>
    <tableColumn id="11" name="TotalFeedKg"/>
    <tableColumn id="12" name="TotalFeedCost_ZMW"/>
    <tableColumn id="13" name="LatestWeightDate"/>
    <tableColumn id="14" name="LatestAvgWeightG"/>
    <tableColumn id="15" name="FCR"/>
    <tableColumn id="16" name="ADG_g"/>
    <tableColumn id="17" name="TotalExpenses_ZMW"/>
    <tableColumn id="18" name="MedicineCost_ZMW"/>
    <tableColumn id="19" name="TotalSalesValue_ZMW"/>
    <tableColumn id="20" name="BirdsSold"/>
    <tableColumn id="21" name="CostPerBird_ZMW"/>
    <tableColumn id="22" name="CostPerKg_ZMW"/>
    <tableColumn id="23" name="EstimatedProfit_ZMW"/>
    <tableColumn id="24" name="BreakEvenPricePerBird_ZMW"/>
  </tableColumns>
  <tableStyleInfo name="TableStyleMedium7" showFirstColumn="0" showRowStripes="1"/>
</table>
</file>

<file path=xl/tables/table19.xml><?xml version="1.0" encoding="utf-8"?>
<table xmlns="http://schemas.openxmlformats.org/spreadsheetml/2006/main" id="19" name="Log_Audit" displayName="Log_Audit" ref="A1:I2" headerRowCount="1">
  <autoFilter ref="A1:I2"/>
  <tableColumns count="9">
    <tableColumn id="1" name="LogID"/>
    <tableColumn id="2" name="TableName"/>
    <tableColumn id="3" name="Action"/>
    <tableColumn id="4" name="RecordID"/>
    <tableColumn id="5" name="FieldChanged"/>
    <tableColumn id="6" name="OldValue"/>
    <tableColumn id="7" name="NewValue"/>
    <tableColumn id="8" name="UserName"/>
    <tableColumn id="9" name="Timestamp"/>
  </tableColumns>
  <tableStyleInfo name="TableStyleMedium15" showFirstColumn="0" showRowStripes="1"/>
</table>
</file>

<file path=xl/tables/table20.xml><?xml version="1.0" encoding="utf-8"?>
<table xmlns="http://schemas.openxmlformats.org/spreadsheetml/2006/main" id="20" name="mst_Employees" displayName="mst_Employees" ref="A1:H6" headerRowCount="1">
  <autoFilter ref="A1:H6"/>
  <tableColumns count="8">
    <tableColumn id="1" name="EmployeeID"/>
    <tableColumn id="2" name="EmployeeName"/>
    <tableColumn id="3" name="Position"/>
    <tableColumn id="4" name="ContactNumber"/>
    <tableColumn id="5" name="NRC"/>
    <tableColumn id="6" name="DateHired"/>
    <tableColumn id="7" name="SalaryZMW"/>
    <tableColumn id="8" name="Status"/>
  </tableColumns>
  <tableStyleInfo name="TableStyleMedium9" showFirstColumn="0" showRowStripes="1"/>
</table>
</file>

<file path=xl/tables/table21.xml><?xml version="1.0" encoding="utf-8"?>
<table xmlns="http://schemas.openxmlformats.org/spreadsheetml/2006/main" id="21" name="reg_DailyRoutine" displayName="reg_DailyRoutine" ref="A1:N43" headerRowCount="1">
  <autoFilter ref="A1:N43"/>
  <tableColumns count="14">
    <tableColumn id="1" name="EntryID"/>
    <tableColumn id="2" name="FlockID"/>
    <tableColumn id="3" name="Date"/>
    <tableColumn id="4" name="TemperatureC"/>
    <tableColumn id="5" name="HumidityPct"/>
    <tableColumn id="6" name="WaterAvailable"/>
    <tableColumn id="7" name="FeedAvailable"/>
    <tableColumn id="8" name="DrinkersCleaned"/>
    <tableColumn id="9" name="LitterCondition"/>
    <tableColumn id="10" name="Ventilation"/>
    <tableColumn id="11" name="SickBirdsObserved"/>
    <tableColumn id="12" name="EmployeeID"/>
    <tableColumn id="13" name="Notes"/>
    <tableColumn id="14" name="IsActive"/>
  </tableColumns>
  <tableStyleInfo name="TableStyleMedium9" showFirstColumn="0" showRowStripes="1"/>
</table>
</file>

<file path=xl/tables/table22.xml><?xml version="1.0" encoding="utf-8"?>
<table xmlns="http://schemas.openxmlformats.org/spreadsheetml/2006/main" id="22" name="reg_FeedPurchases" displayName="reg_FeedPurchases" ref="A1:M7" headerRowCount="1">
  <autoFilter ref="A1:M7"/>
  <tableColumns count="13">
    <tableColumn id="1" name="EntryID"/>
    <tableColumn id="2" name="Date"/>
    <tableColumn id="3" name="SupplierID"/>
    <tableColumn id="4" name="FeedID"/>
    <tableColumn id="5" name="NumberOfBags"/>
    <tableColumn id="6" name="BagWeightKg"/>
    <tableColumn id="7" name="UnitCostPerBag_ZMW"/>
    <tableColumn id="8" name="TotalWeightKg"/>
    <tableColumn id="9" name="TotalCost_ZMW"/>
    <tableColumn id="10" name="InvoiceNo"/>
    <tableColumn id="11" name="PaymentMethod"/>
    <tableColumn id="12" name="EnteredBy"/>
    <tableColumn id="13" name="IsActive"/>
  </tableColumns>
  <tableStyleInfo name="TableStyleMedium9" showFirstColumn="0" showRowStripes="1"/>
</table>
</file>

<file path=xl/tables/table23.xml><?xml version="1.0" encoding="utf-8"?>
<table xmlns="http://schemas.openxmlformats.org/spreadsheetml/2006/main" id="23" name="calc_FeedStockSummary" displayName="calc_FeedStockSummary" ref="A1:H4" headerRowCount="1">
  <autoFilter ref="A1:H4"/>
  <tableColumns count="8">
    <tableColumn id="1" name="FeedID"/>
    <tableColumn id="2" name="FeedType"/>
    <tableColumn id="3" name="OpeningStockKg"/>
    <tableColumn id="4" name="PurchasedKg"/>
    <tableColumn id="5" name="UsedKg"/>
    <tableColumn id="6" name="BalanceKg"/>
    <tableColumn id="7" name="MinStockKg"/>
    <tableColumn id="8" name="Alert"/>
  </tableColumns>
  <tableStyleInfo name="TableStyleMedium7" showFirstColumn="0" showRowStripes="1"/>
</table>
</file>

<file path=xl/tables/table24.xml><?xml version="1.0" encoding="utf-8"?>
<table xmlns="http://schemas.openxmlformats.org/spreadsheetml/2006/main" id="24" name="reg_MedicineStock" displayName="reg_MedicineStock" ref="A1:N7" headerRowCount="1">
  <autoFilter ref="A1:N7"/>
  <tableColumns count="14">
    <tableColumn id="1" name="EntryID"/>
    <tableColumn id="2" name="FlockID"/>
    <tableColumn id="3" name="ProductID"/>
    <tableColumn id="4" name="SupplierID"/>
    <tableColumn id="5" name="LotNumber"/>
    <tableColumn id="6" name="ExpiryDate"/>
    <tableColumn id="7" name="QuantityReceived"/>
    <tableColumn id="8" name="QuantityUsed"/>
    <tableColumn id="9" name="Balance"/>
    <tableColumn id="10" name="UnitCost_ZMW"/>
    <tableColumn id="11" name="TotalCost_ZMW"/>
    <tableColumn id="12" name="Status"/>
    <tableColumn id="13" name="EnteredBy"/>
    <tableColumn id="14" name="IsActive"/>
  </tableColumns>
  <tableStyleInfo name="TableStyleMedium9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N50"/>
  <sheetViews>
    <sheetView showGridLines="0" workbookViewId="0">
      <selection activeCell="A1" sqref="A1"/>
    </sheetView>
  </sheetViews>
  <sheetFormatPr baseColWidth="8" defaultRowHeight="15" outlineLevelCol="0"/>
  <cols>
    <col width="14" customWidth="1" min="1" max="1"/>
    <col width="12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4" customWidth="1" min="10" max="10"/>
    <col width="15" customWidth="1" min="11" max="11"/>
    <col width="13" customWidth="1" min="12" max="12"/>
    <col width="13" customWidth="1" min="13" max="13"/>
    <col width="13" customWidth="1" min="14" max="14"/>
  </cols>
  <sheetData>
    <row r="1">
      <c r="A1" s="15" t="inlineStr">
        <is>
          <t>FarmNow Limited — Broiler Production Dashboard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</row>
    <row r="2">
      <c r="A2" s="16" t="n"/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</row>
    <row r="3" ht="18" customHeight="1">
      <c r="A3" s="17">
        <f>"Live KPI overview across all flocks  |  Report generated: "&amp;TEXT(TODAY(),"dd mmm yyyy")</f>
        <v/>
      </c>
    </row>
    <row r="5" ht="30" customHeight="1">
      <c r="A5" s="18" t="inlineStr">
        <is>
          <t>Livability % (Active Flocks)</t>
        </is>
      </c>
      <c r="C5" s="18" t="inlineStr">
        <is>
          <t>Avg FCR (Active Flocks)</t>
        </is>
      </c>
      <c r="E5" s="18" t="inlineStr">
        <is>
          <t>Avg Daily Gain (g/bird)</t>
        </is>
      </c>
      <c r="G5" s="18" t="inlineStr">
        <is>
          <t>Mortality % (Active Flocks)</t>
        </is>
      </c>
      <c r="I5" s="18" t="inlineStr">
        <is>
          <t>Avg Cost / Bird (ZMW)</t>
        </is>
      </c>
      <c r="K5" s="18" t="inlineStr">
        <is>
          <t>Avg Cost / Kg Live Wt (ZMW)</t>
        </is>
      </c>
    </row>
    <row r="6" ht="34" customHeight="1">
      <c r="A6" s="19">
        <f>IFERROR(SUMIFS(calc_KPI_Engine[CurrentBirds],calc_KPI_Engine[Status],"Active")/SUMIFS(calc_KPI_Engine[InitialBirds],calc_KPI_Engine[Status],"Active"),0)</f>
        <v/>
      </c>
      <c r="C6" s="20">
        <f>IFERROR(AVERAGEIFS(calc_KPI_Engine[FCR],calc_KPI_Engine[Status],"Active"),0)</f>
        <v/>
      </c>
      <c r="E6" s="21">
        <f>IFERROR(AVERAGEIFS(calc_KPI_Engine[ADG_g],calc_KPI_Engine[Status],"Active"),0)</f>
        <v/>
      </c>
      <c r="G6" s="22">
        <f>1-IFERROR(SUMIFS(calc_KPI_Engine[CurrentBirds],calc_KPI_Engine[Status],"Active")/SUMIFS(calc_KPI_Engine[InitialBirds],calc_KPI_Engine[Status],"Active"),0)</f>
        <v/>
      </c>
      <c r="I6" s="23">
        <f>IFERROR(AVERAGEIFS(calc_KPI_Engine[CostPerBird_ZMW],calc_KPI_Engine[Status],"Active"),0)</f>
        <v/>
      </c>
      <c r="K6" s="23">
        <f>IFERROR(AVERAGEIFS(calc_KPI_Engine[CostPerKg_ZMW],calc_KPI_Engine[Status],"Active"),0)</f>
        <v/>
      </c>
    </row>
    <row r="7">
      <c r="A7" s="24">
        <f>"Target: "&amp;TEXT(INDEX(mst_Settings[Value],MATCH("TargetLivabilityPct",mst_Settings[Parameter],0)),"0.0%")</f>
        <v/>
      </c>
      <c r="C7" s="24">
        <f>"Target: "&amp;TEXT(INDEX(mst_Settings[Value],MATCH("TargetFCR",mst_Settings[Parameter],0)),"0.00")</f>
        <v/>
      </c>
      <c r="E7" s="24" t="inlineStr"/>
      <c r="G7" s="24">
        <f>"Target: "&amp;TEXT(INDEX(mst_Settings[Value],MATCH("MortalityAlertThresholdPct",mst_Settings[Parameter],0)),"0.00%")</f>
        <v/>
      </c>
      <c r="I7" s="24" t="inlineStr"/>
      <c r="K7" s="24" t="inlineStr"/>
    </row>
    <row r="9">
      <c r="A9" s="25" t="inlineStr">
        <is>
          <t>Flock Performance Comparison</t>
        </is>
      </c>
    </row>
    <row r="10" ht="26" customHeight="1">
      <c r="A10" s="26" t="inlineStr">
        <is>
          <t>Flock</t>
        </is>
      </c>
      <c r="B10" s="26" t="inlineStr">
        <is>
          <t>House</t>
        </is>
      </c>
      <c r="C10" s="26" t="inlineStr">
        <is>
          <t>Breed</t>
        </is>
      </c>
      <c r="D10" s="26" t="inlineStr">
        <is>
          <t>Status</t>
        </is>
      </c>
      <c r="E10" s="26" t="inlineStr">
        <is>
          <t>Days On Farm</t>
        </is>
      </c>
      <c r="F10" s="26" t="inlineStr">
        <is>
          <t>Livability %</t>
        </is>
      </c>
      <c r="G10" s="26" t="inlineStr">
        <is>
          <t>FCR</t>
        </is>
      </c>
      <c r="H10" s="26" t="inlineStr">
        <is>
          <t>ADG (g)</t>
        </is>
      </c>
      <c r="I10" s="26" t="inlineStr">
        <is>
          <t>Cost/Bird (ZMW)</t>
        </is>
      </c>
      <c r="J10" s="26" t="inlineStr">
        <is>
          <t>Cost/Kg (ZMW)</t>
        </is>
      </c>
      <c r="K10" s="26" t="inlineStr">
        <is>
          <t>Est. Profit (ZMW)</t>
        </is>
      </c>
    </row>
    <row r="11">
      <c r="A11" s="2">
        <f>calc_KPI_Engine!A2</f>
        <v/>
      </c>
      <c r="B11" s="2">
        <f>calc_KPI_Engine!B2</f>
        <v/>
      </c>
      <c r="C11" s="2">
        <f>calc_KPI_Engine!C2</f>
        <v/>
      </c>
      <c r="D11" s="2">
        <f>calc_KPI_Engine!E2</f>
        <v/>
      </c>
      <c r="E11" s="2">
        <f>calc_KPI_Engine!F2</f>
        <v/>
      </c>
      <c r="F11" s="12">
        <f>calc_KPI_Engine!J2</f>
        <v/>
      </c>
      <c r="G11" s="13">
        <f>calc_KPI_Engine!O2</f>
        <v/>
      </c>
      <c r="H11" s="9">
        <f>calc_KPI_Engine!P2</f>
        <v/>
      </c>
      <c r="I11" s="3">
        <f>calc_KPI_Engine!U2</f>
        <v/>
      </c>
      <c r="J11" s="3">
        <f>calc_KPI_Engine!V2</f>
        <v/>
      </c>
      <c r="K11" s="3">
        <f>calc_KPI_Engine!W2</f>
        <v/>
      </c>
    </row>
    <row r="12">
      <c r="A12" s="27">
        <f>calc_KPI_Engine!A3</f>
        <v/>
      </c>
      <c r="B12" s="27">
        <f>calc_KPI_Engine!B3</f>
        <v/>
      </c>
      <c r="C12" s="27">
        <f>calc_KPI_Engine!C3</f>
        <v/>
      </c>
      <c r="D12" s="27">
        <f>calc_KPI_Engine!E3</f>
        <v/>
      </c>
      <c r="E12" s="27">
        <f>calc_KPI_Engine!F3</f>
        <v/>
      </c>
      <c r="F12" s="28">
        <f>calc_KPI_Engine!J3</f>
        <v/>
      </c>
      <c r="G12" s="29">
        <f>calc_KPI_Engine!O3</f>
        <v/>
      </c>
      <c r="H12" s="30">
        <f>calc_KPI_Engine!P3</f>
        <v/>
      </c>
      <c r="I12" s="31">
        <f>calc_KPI_Engine!U3</f>
        <v/>
      </c>
      <c r="J12" s="31">
        <f>calc_KPI_Engine!V3</f>
        <v/>
      </c>
      <c r="K12" s="31">
        <f>calc_KPI_Engine!W3</f>
        <v/>
      </c>
    </row>
    <row r="13">
      <c r="A13" s="2">
        <f>calc_KPI_Engine!A4</f>
        <v/>
      </c>
      <c r="B13" s="2">
        <f>calc_KPI_Engine!B4</f>
        <v/>
      </c>
      <c r="C13" s="2">
        <f>calc_KPI_Engine!C4</f>
        <v/>
      </c>
      <c r="D13" s="2">
        <f>calc_KPI_Engine!E4</f>
        <v/>
      </c>
      <c r="E13" s="2">
        <f>calc_KPI_Engine!F4</f>
        <v/>
      </c>
      <c r="F13" s="12">
        <f>calc_KPI_Engine!J4</f>
        <v/>
      </c>
      <c r="G13" s="13">
        <f>calc_KPI_Engine!O4</f>
        <v/>
      </c>
      <c r="H13" s="9">
        <f>calc_KPI_Engine!P4</f>
        <v/>
      </c>
      <c r="I13" s="3">
        <f>calc_KPI_Engine!U4</f>
        <v/>
      </c>
      <c r="J13" s="3">
        <f>calc_KPI_Engine!V4</f>
        <v/>
      </c>
      <c r="K13" s="3">
        <f>calc_KPI_Engine!W4</f>
        <v/>
      </c>
    </row>
    <row r="14">
      <c r="A14" s="27">
        <f>calc_KPI_Engine!A5</f>
        <v/>
      </c>
      <c r="B14" s="27">
        <f>calc_KPI_Engine!B5</f>
        <v/>
      </c>
      <c r="C14" s="27">
        <f>calc_KPI_Engine!C5</f>
        <v/>
      </c>
      <c r="D14" s="27">
        <f>calc_KPI_Engine!E5</f>
        <v/>
      </c>
      <c r="E14" s="27">
        <f>calc_KPI_Engine!F5</f>
        <v/>
      </c>
      <c r="F14" s="28">
        <f>calc_KPI_Engine!J5</f>
        <v/>
      </c>
      <c r="G14" s="29">
        <f>calc_KPI_Engine!O5</f>
        <v/>
      </c>
      <c r="H14" s="30">
        <f>calc_KPI_Engine!P5</f>
        <v/>
      </c>
      <c r="I14" s="31">
        <f>calc_KPI_Engine!U5</f>
        <v/>
      </c>
      <c r="J14" s="31">
        <f>calc_KPI_Engine!V5</f>
        <v/>
      </c>
      <c r="K14" s="31">
        <f>calc_KPI_Engine!W5</f>
        <v/>
      </c>
    </row>
    <row r="17">
      <c r="A17" s="25" t="inlineStr">
        <is>
          <t>Trend &amp; Comparison Charts</t>
        </is>
      </c>
    </row>
    <row r="35">
      <c r="A35" s="25" t="inlineStr">
        <is>
          <t>Alerts</t>
        </is>
      </c>
    </row>
    <row r="36">
      <c r="A36" s="32" t="inlineStr">
        <is>
          <t>Flock</t>
        </is>
      </c>
      <c r="B36" s="32" t="inlineStr">
        <is>
          <t>Alert</t>
        </is>
      </c>
    </row>
    <row r="37">
      <c r="A37" s="2">
        <f>calc_KPI_Engine!A2</f>
        <v/>
      </c>
      <c r="B37" s="2">
        <f>IF(calc_KPI_Engine!E2&lt;&gt;"Active","",IF(calc_KPI_Engine!J2&lt;INDEX(mst_Settings[Value],MATCH("TargetLivabilityPct",mst_Settings[Parameter],0)),"Livability below target - investigate mortality",IF(calc_KPI_Engine!O2&gt;INDEX(mst_Settings[Value],MATCH("TargetFCR",mst_Settings[Parameter],0)),"FCR above target - review feed efficiency","Within normal range")))</f>
        <v/>
      </c>
    </row>
    <row r="38">
      <c r="A38" s="2">
        <f>calc_KPI_Engine!A3</f>
        <v/>
      </c>
      <c r="B38" s="2">
        <f>IF(calc_KPI_Engine!E3&lt;&gt;"Active","",IF(calc_KPI_Engine!J3&lt;INDEX(mst_Settings[Value],MATCH("TargetLivabilityPct",mst_Settings[Parameter],0)),"Livability below target - investigate mortality",IF(calc_KPI_Engine!O3&gt;INDEX(mst_Settings[Value],MATCH("TargetFCR",mst_Settings[Parameter],0)),"FCR above target - review feed efficiency","Within normal range")))</f>
        <v/>
      </c>
    </row>
    <row r="39">
      <c r="A39" s="2">
        <f>calc_KPI_Engine!A4</f>
        <v/>
      </c>
      <c r="B39" s="2">
        <f>IF(calc_KPI_Engine!E4&lt;&gt;"Active","",IF(calc_KPI_Engine!J4&lt;INDEX(mst_Settings[Value],MATCH("TargetLivabilityPct",mst_Settings[Parameter],0)),"Livability below target - investigate mortality",IF(calc_KPI_Engine!O4&gt;INDEX(mst_Settings[Value],MATCH("TargetFCR",mst_Settings[Parameter],0)),"FCR above target - review feed efficiency","Within normal range")))</f>
        <v/>
      </c>
    </row>
    <row r="40">
      <c r="A40" s="2">
        <f>calc_KPI_Engine!A5</f>
        <v/>
      </c>
      <c r="B40" s="2">
        <f>IF(calc_KPI_Engine!E5&lt;&gt;"Active","",IF(calc_KPI_Engine!J5&lt;INDEX(mst_Settings[Value],MATCH("TargetLivabilityPct",mst_Settings[Parameter],0)),"Livability below target - investigate mortality",IF(calc_KPI_Engine!O5&gt;INDEX(mst_Settings[Value],MATCH("TargetFCR",mst_Settings[Parameter],0)),"FCR above target - review feed efficiency","Within normal range")))</f>
        <v/>
      </c>
    </row>
    <row r="42">
      <c r="A42" s="25" t="inlineStr">
        <is>
          <t>Inventory &amp; Compliance Alerts</t>
        </is>
      </c>
    </row>
    <row r="43">
      <c r="A43" s="32" t="inlineStr">
        <is>
          <t>Item</t>
        </is>
      </c>
      <c r="B43" s="32" t="inlineStr">
        <is>
          <t>Status</t>
        </is>
      </c>
    </row>
    <row r="44">
      <c r="A44" s="2">
        <f>calc_FeedStockSummary!B2&amp;" feed stock"</f>
        <v/>
      </c>
      <c r="B44" s="2">
        <f>calc_FeedStockSummary!H2&amp;" ("&amp;TEXT(calc_FeedStockSummary!F2,"#,##0")&amp;" kg balance)"</f>
        <v/>
      </c>
    </row>
    <row r="45">
      <c r="A45" s="2">
        <f>calc_FeedStockSummary!B3&amp;" feed stock"</f>
        <v/>
      </c>
      <c r="B45" s="2">
        <f>calc_FeedStockSummary!H3&amp;" ("&amp;TEXT(calc_FeedStockSummary!F3,"#,##0")&amp;" kg balance)"</f>
        <v/>
      </c>
    </row>
    <row r="46">
      <c r="A46" s="2">
        <f>calc_FeedStockSummary!B4&amp;" feed stock"</f>
        <v/>
      </c>
      <c r="B46" s="2">
        <f>calc_FeedStockSummary!H4&amp;" ("&amp;TEXT(calc_FeedStockSummary!F4,"#,##0")&amp;" kg balance)"</f>
        <v/>
      </c>
    </row>
    <row r="47">
      <c r="A47" s="2">
        <f>IF(reg_MedicineStock!A2="","",reg_MedicineStock!E2&amp;" ("&amp;reg_MedicineStock!B2&amp;")")</f>
        <v/>
      </c>
      <c r="B47" s="2">
        <f>IF(reg_MedicineStock!A2="","",reg_MedicineStock!L2)</f>
        <v/>
      </c>
    </row>
    <row r="48">
      <c r="A48" s="2">
        <f>IF(reg_MedicineStock!A3="","",reg_MedicineStock!E3&amp;" ("&amp;reg_MedicineStock!B3&amp;")")</f>
        <v/>
      </c>
      <c r="B48" s="2">
        <f>IF(reg_MedicineStock!A3="","",reg_MedicineStock!L3)</f>
        <v/>
      </c>
    </row>
    <row r="49">
      <c r="A49" s="2">
        <f>IF(reg_MedicineStock!A4="","",reg_MedicineStock!E4&amp;" ("&amp;reg_MedicineStock!B4&amp;")")</f>
        <v/>
      </c>
      <c r="B49" s="2">
        <f>IF(reg_MedicineStock!A4="","",reg_MedicineStock!L4)</f>
        <v/>
      </c>
    </row>
    <row r="50">
      <c r="A50" s="2">
        <f>IF(reg_MedicineStock!A5="","",reg_MedicineStock!E5&amp;" ("&amp;reg_MedicineStock!B5&amp;")")</f>
        <v/>
      </c>
      <c r="B50" s="2">
        <f>IF(reg_MedicineStock!A5="","",reg_MedicineStock!L5)</f>
        <v/>
      </c>
    </row>
  </sheetData>
  <mergeCells count="24">
    <mergeCell ref="C6:D6"/>
    <mergeCell ref="I6:J6"/>
    <mergeCell ref="C5:D5"/>
    <mergeCell ref="E5:F5"/>
    <mergeCell ref="K5:L5"/>
    <mergeCell ref="A6:B6"/>
    <mergeCell ref="A42:F42"/>
    <mergeCell ref="A7:B7"/>
    <mergeCell ref="G7:H7"/>
    <mergeCell ref="I7:J7"/>
    <mergeCell ref="A17:F17"/>
    <mergeCell ref="A35:F35"/>
    <mergeCell ref="G6:H6"/>
    <mergeCell ref="A3:N3"/>
    <mergeCell ref="E6:F6"/>
    <mergeCell ref="A9:F9"/>
    <mergeCell ref="A5:B5"/>
    <mergeCell ref="G5:H5"/>
    <mergeCell ref="I5:J5"/>
    <mergeCell ref="A1:N2"/>
    <mergeCell ref="K7:L7"/>
    <mergeCell ref="C7:D7"/>
    <mergeCell ref="E7:F7"/>
    <mergeCell ref="K6:L6"/>
  </mergeCells>
  <conditionalFormatting sqref="G11:G14">
    <cfRule type="cellIs" priority="1" operator="greaterThan" dxfId="0">
      <formula>1.75</formula>
    </cfRule>
  </conditionalFormatting>
  <conditionalFormatting sqref="F11:F14">
    <cfRule type="cellIs" priority="2" operator="lessThan" dxfId="0">
      <formula>0.93</formula>
    </cfRule>
  </conditionalFormatting>
  <conditionalFormatting sqref="K11:K14">
    <cfRule type="cellIs" priority="3" operator="lessThan" dxfId="0">
      <formula>0</formula>
    </cfRule>
  </conditionalFormatting>
  <conditionalFormatting sqref="B37:B40">
    <cfRule type="expression" priority="4" dxfId="1">
      <formula>AND(B37&lt;&gt;"Within normal range",B37&lt;&gt;"")</formula>
    </cfRule>
  </conditionalFormatting>
  <conditionalFormatting sqref="B44:B50">
    <cfRule type="expression" priority="5" dxfId="1">
      <formula>OR(ISNUMBER(SEARCH("LOW STOCK",B44)),ISNUMBER(SEARCH("EXPIR",B44)))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D34"/>
  <sheetViews>
    <sheetView showGridLines="0" workbookViewId="0">
      <selection activeCell="A1" sqref="A1"/>
    </sheetView>
  </sheetViews>
  <sheetFormatPr baseColWidth="8" defaultRowHeight="15" outlineLevelCol="0"/>
  <cols>
    <col width="26" customWidth="1" min="1" max="1"/>
    <col width="22" customWidth="1" min="2" max="2"/>
    <col width="55" customWidth="1" min="3" max="3"/>
  </cols>
  <sheetData>
    <row r="1">
      <c r="A1" s="15" t="inlineStr">
        <is>
          <t>FarmNow Limited — System Navigation</t>
        </is>
      </c>
      <c r="B1" s="16" t="n"/>
      <c r="C1" s="16" t="n"/>
      <c r="D1" s="16" t="n"/>
    </row>
    <row r="2">
      <c r="A2" s="16" t="n"/>
      <c r="B2" s="16" t="n"/>
      <c r="C2" s="16" t="n"/>
      <c r="D2" s="16" t="n"/>
    </row>
    <row r="4">
      <c r="A4" s="33" t="inlineStr">
        <is>
          <t>Go To</t>
        </is>
      </c>
      <c r="B4" s="33" t="inlineStr">
        <is>
          <t>Sheet</t>
        </is>
      </c>
      <c r="C4" s="33" t="inlineStr">
        <is>
          <t>Description</t>
        </is>
      </c>
    </row>
    <row r="5">
      <c r="A5" s="34" t="inlineStr">
        <is>
          <t>Dashboard</t>
        </is>
      </c>
      <c r="B5" s="2" t="inlineStr">
        <is>
          <t>Dashboard</t>
        </is>
      </c>
      <c r="C5" s="2" t="inlineStr">
        <is>
          <t>Live KPI overview, flock comparison, charts and alerts</t>
        </is>
      </c>
    </row>
    <row r="6">
      <c r="A6" s="35" t="inlineStr">
        <is>
          <t>New Flock Setup</t>
        </is>
      </c>
      <c r="B6" s="27" t="inlineStr">
        <is>
          <t>reg_Flocks</t>
        </is>
      </c>
      <c r="C6" s="27" t="inlineStr">
        <is>
          <t>Register a new flock/batch (house, breed, placement date)</t>
        </is>
      </c>
    </row>
    <row r="7">
      <c r="A7" s="34" t="inlineStr">
        <is>
          <t>Daily Mortality Entry</t>
        </is>
      </c>
      <c r="B7" s="2" t="inlineStr">
        <is>
          <t>reg_DailyMortality</t>
        </is>
      </c>
      <c r="C7" s="2" t="inlineStr">
        <is>
          <t>Log daily bird deaths per flock</t>
        </is>
      </c>
    </row>
    <row r="8">
      <c r="A8" s="35" t="inlineStr">
        <is>
          <t>Feed Consumption Entry</t>
        </is>
      </c>
      <c r="B8" s="27" t="inlineStr">
        <is>
          <t>reg_FeedConsumption</t>
        </is>
      </c>
      <c r="C8" s="27" t="inlineStr">
        <is>
          <t>Log daily/weekly feed usage per flock</t>
        </is>
      </c>
    </row>
    <row r="9">
      <c r="A9" s="34" t="inlineStr">
        <is>
          <t>Weekly Weight Sampling</t>
        </is>
      </c>
      <c r="B9" s="2" t="inlineStr">
        <is>
          <t>reg_WeeklyWeights</t>
        </is>
      </c>
      <c r="C9" s="2" t="inlineStr">
        <is>
          <t>Log sample bird weights per flock</t>
        </is>
      </c>
    </row>
    <row r="10">
      <c r="A10" s="35" t="inlineStr">
        <is>
          <t>Vaccination &amp; Health Entry</t>
        </is>
      </c>
      <c r="B10" s="27" t="inlineStr">
        <is>
          <t>reg_Vaccination_Health</t>
        </is>
      </c>
      <c r="C10" s="27" t="inlineStr">
        <is>
          <t>Log vaccines/medication administered</t>
        </is>
      </c>
    </row>
    <row r="11">
      <c r="A11" s="34" t="inlineStr">
        <is>
          <t>Sales &amp; Dispatch Entry</t>
        </is>
      </c>
      <c r="B11" s="2" t="inlineStr">
        <is>
          <t>reg_Sales_Dispatch</t>
        </is>
      </c>
      <c r="C11" s="2" t="inlineStr">
        <is>
          <t>Log bird sales and dispatch to customers</t>
        </is>
      </c>
    </row>
    <row r="12">
      <c r="A12" s="35" t="inlineStr">
        <is>
          <t>Expense Entry</t>
        </is>
      </c>
      <c r="B12" s="27" t="inlineStr">
        <is>
          <t>reg_Expenses</t>
        </is>
      </c>
      <c r="C12" s="27" t="inlineStr">
        <is>
          <t>Log farm expenses by category</t>
        </is>
      </c>
    </row>
    <row r="13">
      <c r="A13" s="34" t="inlineStr">
        <is>
          <t>Environment Readings</t>
        </is>
      </c>
      <c r="B13" s="2" t="inlineStr">
        <is>
          <t>reg_EnvironmentReadings</t>
        </is>
      </c>
      <c r="C13" s="2" t="inlineStr">
        <is>
          <t>Log house temperature/humidity/ammonia</t>
        </is>
      </c>
    </row>
    <row r="14">
      <c r="A14" s="35" t="inlineStr">
        <is>
          <t>Flock Performance Report</t>
        </is>
      </c>
      <c r="B14" s="27" t="inlineStr">
        <is>
          <t>rpt_FlockPerformance</t>
        </is>
      </c>
      <c r="C14" s="27" t="inlineStr">
        <is>
          <t>Printable single-flock performance report</t>
        </is>
      </c>
    </row>
    <row r="15">
      <c r="A15" s="34" t="inlineStr">
        <is>
          <t>Financial Summary Report</t>
        </is>
      </c>
      <c r="B15" s="2" t="inlineStr">
        <is>
          <t>rpt_FinancialSummary</t>
        </is>
      </c>
      <c r="C15" s="2" t="inlineStr">
        <is>
          <t>Printable P&amp;L summary across all flocks</t>
        </is>
      </c>
    </row>
    <row r="16">
      <c r="A16" s="35" t="inlineStr">
        <is>
          <t>Mortality &amp; Health Report</t>
        </is>
      </c>
      <c r="B16" s="27" t="inlineStr">
        <is>
          <t>rpt_MortalityTrend</t>
        </is>
      </c>
      <c r="C16" s="27" t="inlineStr">
        <is>
          <t>Printable mortality/health summary per flock</t>
        </is>
      </c>
    </row>
    <row r="17">
      <c r="A17" s="34" t="inlineStr">
        <is>
          <t>Master Data - Houses</t>
        </is>
      </c>
      <c r="B17" s="2" t="inlineStr">
        <is>
          <t>mst_Houses</t>
        </is>
      </c>
      <c r="C17" s="2" t="inlineStr">
        <is>
          <t>House codes, capacity, zone</t>
        </is>
      </c>
    </row>
    <row r="18">
      <c r="A18" s="35" t="inlineStr">
        <is>
          <t>Master Data - Breeds</t>
        </is>
      </c>
      <c r="B18" s="27" t="inlineStr">
        <is>
          <t>mst_Breeds</t>
        </is>
      </c>
      <c r="C18" s="27" t="inlineStr">
        <is>
          <t>Breed standards (FCR, ADG targets)</t>
        </is>
      </c>
    </row>
    <row r="19">
      <c r="A19" s="34" t="inlineStr">
        <is>
          <t>Master Data - Feed Types</t>
        </is>
      </c>
      <c r="B19" s="2" t="inlineStr">
        <is>
          <t>mst_FeedTypes</t>
        </is>
      </c>
      <c r="C19" s="2" t="inlineStr">
        <is>
          <t>Feed stages and unit costs</t>
        </is>
      </c>
    </row>
    <row r="20">
      <c r="A20" s="35" t="inlineStr">
        <is>
          <t>Master Data - Suppliers</t>
        </is>
      </c>
      <c r="B20" s="27" t="inlineStr">
        <is>
          <t>mst_Suppliers</t>
        </is>
      </c>
      <c r="C20" s="27" t="inlineStr">
        <is>
          <t>Supplier directory</t>
        </is>
      </c>
    </row>
    <row r="21">
      <c r="A21" s="34" t="inlineStr">
        <is>
          <t>Master Data - Customers</t>
        </is>
      </c>
      <c r="B21" s="2" t="inlineStr">
        <is>
          <t>mst_Customers</t>
        </is>
      </c>
      <c r="C21" s="2" t="inlineStr">
        <is>
          <t>Customer directory</t>
        </is>
      </c>
    </row>
    <row r="22">
      <c r="A22" s="35" t="inlineStr">
        <is>
          <t>Master Data - Vaccines/Meds</t>
        </is>
      </c>
      <c r="B22" s="27" t="inlineStr">
        <is>
          <t>mst_Vaccines_Meds</t>
        </is>
      </c>
      <c r="C22" s="27" t="inlineStr">
        <is>
          <t>Vaccine/medication catalogue</t>
        </is>
      </c>
    </row>
    <row r="23">
      <c r="A23" s="34" t="inlineStr">
        <is>
          <t>System Settings</t>
        </is>
      </c>
      <c r="B23" s="2" t="inlineStr">
        <is>
          <t>mst_Settings</t>
        </is>
      </c>
      <c r="C23" s="2" t="inlineStr">
        <is>
          <t>KPI targets and alert thresholds</t>
        </is>
      </c>
    </row>
    <row r="25">
      <c r="A25" s="36" t="inlineStr">
        <is>
          <t>Note: this Menu_Nav also links directly to every sheet - click a link above to jump straight there.</t>
        </is>
      </c>
    </row>
    <row r="26">
      <c r="A26" s="36" t="inlineStr">
        <is>
          <t>A VBA-driven entry-form layer (UserForms + macros) ships alongside this workbook - see the README and /VBA_Modules folder.</t>
        </is>
      </c>
    </row>
    <row r="27">
      <c r="A27" s="57" t="inlineStr">
        <is>
          <t>Additional Registers</t>
        </is>
      </c>
    </row>
    <row r="28">
      <c r="A28" s="34" t="inlineStr">
        <is>
          <t>Daily Routine Checklist</t>
        </is>
      </c>
      <c r="B28" s="2" t="inlineStr">
        <is>
          <t>reg_DailyRoutine</t>
        </is>
      </c>
      <c r="C28" s="2" t="inlineStr">
        <is>
          <t>Daily floor-walk: temp/humidity, water, feed, litter, ventilation</t>
        </is>
      </c>
    </row>
    <row r="29">
      <c r="A29" s="34" t="inlineStr">
        <is>
          <t>Feed Purchases Entry</t>
        </is>
      </c>
      <c r="B29" s="2" t="inlineStr">
        <is>
          <t>reg_FeedPurchases</t>
        </is>
      </c>
      <c r="C29" s="2" t="inlineStr">
        <is>
          <t>Log feed purchases (supplier, bags, cost, invoice, payment)</t>
        </is>
      </c>
    </row>
    <row r="30">
      <c r="A30" s="34" t="inlineStr">
        <is>
          <t>Feed Stock Summary</t>
        </is>
      </c>
      <c r="B30" s="2" t="inlineStr">
        <is>
          <t>calc_FeedStockSummary</t>
        </is>
      </c>
      <c r="C30" s="2" t="inlineStr">
        <is>
          <t>Live balance per feed type with low-stock alert</t>
        </is>
      </c>
    </row>
    <row r="31">
      <c r="A31" s="34" t="inlineStr">
        <is>
          <t>Medicine Stock Entry</t>
        </is>
      </c>
      <c r="B31" s="2" t="inlineStr">
        <is>
          <t>reg_MedicineStock</t>
        </is>
      </c>
      <c r="C31" s="2" t="inlineStr">
        <is>
          <t>Log medicine/vaccine receipts, usage, and expiry status</t>
        </is>
      </c>
    </row>
    <row r="32">
      <c r="A32" s="34" t="inlineStr">
        <is>
          <t>Other Income Entry</t>
        </is>
      </c>
      <c r="B32" s="2" t="inlineStr">
        <is>
          <t>reg_OtherIncome</t>
        </is>
      </c>
      <c r="C32" s="2" t="inlineStr">
        <is>
          <t>Log non-bird farm income (manure, empty bags, etc.)</t>
        </is>
      </c>
    </row>
    <row r="33">
      <c r="A33" s="34" t="inlineStr">
        <is>
          <t>Master Data - Employees</t>
        </is>
      </c>
      <c r="B33" s="2" t="inlineStr">
        <is>
          <t>mst_Employees</t>
        </is>
      </c>
      <c r="C33" s="2" t="inlineStr">
        <is>
          <t>Farm staff directory</t>
        </is>
      </c>
    </row>
    <row r="34">
      <c r="A34" s="34" t="inlineStr">
        <is>
          <t>Master Data - Dropdown Lists</t>
        </is>
      </c>
      <c r="B34" s="2" t="inlineStr">
        <is>
          <t>mst_Lists</t>
        </is>
      </c>
      <c r="C34" s="2" t="inlineStr">
        <is>
          <t>Centralised dropdown option lists used across the workbook</t>
        </is>
      </c>
    </row>
  </sheetData>
  <mergeCells count="3">
    <mergeCell ref="A1:D2"/>
    <mergeCell ref="A26:D26"/>
    <mergeCell ref="A25:D25"/>
  </mergeCells>
  <hyperlinks>
    <hyperlink ref="A5" location="'Dashboard'!A1" display="Dashboard"/>
    <hyperlink ref="A6" location="'reg_Flocks'!A1" display="New Flock Setup"/>
    <hyperlink ref="A7" location="'reg_DailyMortality'!A1" display="Daily Mortality Entry"/>
    <hyperlink ref="A8" location="'reg_FeedConsumption'!A1" display="Feed Consumption Entry"/>
    <hyperlink ref="A9" location="'reg_WeeklyWeights'!A1" display="Weekly Weight Sampling"/>
    <hyperlink ref="A10" location="'reg_Vaccination_Health'!A1" display="Vaccination &amp; Health Entry"/>
    <hyperlink ref="A11" location="'reg_Sales_Dispatch'!A1" display="Sales &amp; Dispatch Entry"/>
    <hyperlink ref="A12" location="'reg_Expenses'!A1" display="Expense Entry"/>
    <hyperlink ref="A13" location="'reg_EnvironmentReadings'!A1" display="Environment Readings"/>
    <hyperlink ref="A14" location="'rpt_FlockPerformance'!A1" display="Flock Performance Report"/>
    <hyperlink ref="A15" location="'rpt_FinancialSummary'!A1" display="Financial Summary Report"/>
    <hyperlink ref="A16" location="'rpt_MortalityTrend'!A1" display="Mortality &amp; Health Report"/>
    <hyperlink ref="A17" location="'mst_Houses'!A1" display="Master Data - Houses"/>
    <hyperlink ref="A18" location="'mst_Breeds'!A1" display="Master Data - Breeds"/>
    <hyperlink ref="A19" location="'mst_FeedTypes'!A1" display="Master Data - Feed Types"/>
    <hyperlink ref="A20" location="'mst_Suppliers'!A1" display="Master Data - Suppliers"/>
    <hyperlink ref="A21" location="'mst_Customers'!A1" display="Master Data - Customers"/>
    <hyperlink ref="A22" location="'mst_Vaccines_Meds'!A1" display="Master Data - Vaccines/Meds"/>
    <hyperlink ref="A23" location="'mst_Settings'!A1" display="System Settings"/>
    <hyperlink ref="A28" location="'reg_DailyRoutine'!A1" display="Daily Routine Checklist"/>
    <hyperlink ref="A29" location="'reg_FeedPurchases'!A1" display="Feed Purchases Entry"/>
    <hyperlink ref="A30" location="'calc_FeedStockSummary'!A1" display="Feed Stock Summary"/>
    <hyperlink ref="A31" location="'reg_MedicineStock'!A1" display="Medicine Stock Entry"/>
    <hyperlink ref="A32" location="'reg_OtherIncome'!A1" display="Other Income Entry"/>
    <hyperlink ref="A33" location="'mst_Employees'!A1" display="Master Data - Employees"/>
    <hyperlink ref="A34" location="'mst_Lists'!A1" display="Master Data - Dropdown Lists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08080"/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2" customWidth="1" min="2" max="2"/>
    <col width="10" customWidth="1" min="3" max="3"/>
    <col width="14" customWidth="1" min="4" max="4"/>
    <col width="10" customWidth="1" min="5" max="5"/>
  </cols>
  <sheetData>
    <row r="1">
      <c r="A1" s="1" t="inlineStr">
        <is>
          <t>HouseID</t>
        </is>
      </c>
      <c r="B1" s="1" t="inlineStr">
        <is>
          <t>HouseCode</t>
        </is>
      </c>
      <c r="C1" s="1" t="inlineStr">
        <is>
          <t>Capacity</t>
        </is>
      </c>
      <c r="D1" s="1" t="inlineStr">
        <is>
          <t>LocationZone</t>
        </is>
      </c>
      <c r="E1" s="1" t="inlineStr">
        <is>
          <t>Status</t>
        </is>
      </c>
    </row>
    <row r="2">
      <c r="A2" s="2" t="n">
        <v>1</v>
      </c>
      <c r="B2" s="2" t="inlineStr">
        <is>
          <t>H-01</t>
        </is>
      </c>
      <c r="C2" s="2" t="n">
        <v>5000</v>
      </c>
      <c r="D2" s="2" t="inlineStr">
        <is>
          <t>Zone A</t>
        </is>
      </c>
      <c r="E2" s="2" t="inlineStr">
        <is>
          <t>Active</t>
        </is>
      </c>
    </row>
    <row r="3">
      <c r="A3" s="2" t="n">
        <v>2</v>
      </c>
      <c r="B3" s="2" t="inlineStr">
        <is>
          <t>H-02</t>
        </is>
      </c>
      <c r="C3" s="2" t="n">
        <v>5000</v>
      </c>
      <c r="D3" s="2" t="inlineStr">
        <is>
          <t>Zone A</t>
        </is>
      </c>
      <c r="E3" s="2" t="inlineStr">
        <is>
          <t>Active</t>
        </is>
      </c>
    </row>
    <row r="4">
      <c r="A4" s="2" t="n">
        <v>3</v>
      </c>
      <c r="B4" s="2" t="inlineStr">
        <is>
          <t>H-03</t>
        </is>
      </c>
      <c r="C4" s="2" t="n">
        <v>4000</v>
      </c>
      <c r="D4" s="2" t="inlineStr">
        <is>
          <t>Zone B</t>
        </is>
      </c>
      <c r="E4" s="2" t="inlineStr">
        <is>
          <t>Active</t>
        </is>
      </c>
    </row>
    <row r="5">
      <c r="A5" s="2" t="n">
        <v>4</v>
      </c>
      <c r="B5" s="2" t="inlineStr">
        <is>
          <t>H-04</t>
        </is>
      </c>
      <c r="C5" s="2" t="n">
        <v>4000</v>
      </c>
      <c r="D5" s="2" t="inlineStr">
        <is>
          <t>Zone B</t>
        </is>
      </c>
      <c r="E5" s="2" t="inlineStr">
        <is>
          <t>Inactive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808080"/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6" customWidth="1" min="2" max="2"/>
    <col width="14" customWidth="1" min="3" max="3"/>
    <col width="16" customWidth="1" min="4" max="4"/>
  </cols>
  <sheetData>
    <row r="1">
      <c r="A1" s="1" t="inlineStr">
        <is>
          <t>BreedID</t>
        </is>
      </c>
      <c r="B1" s="1" t="inlineStr">
        <is>
          <t>BreedName</t>
        </is>
      </c>
      <c r="C1" s="1" t="inlineStr">
        <is>
          <t>StandardFCR</t>
        </is>
      </c>
      <c r="D1" s="1" t="inlineStr">
        <is>
          <t>StandardADG_g</t>
        </is>
      </c>
    </row>
    <row r="2">
      <c r="A2" s="2" t="n">
        <v>1</v>
      </c>
      <c r="B2" s="2" t="inlineStr">
        <is>
          <t>Ross 308</t>
        </is>
      </c>
      <c r="C2" s="2" t="n">
        <v>1.65</v>
      </c>
      <c r="D2" s="2" t="n">
        <v>62</v>
      </c>
    </row>
    <row r="3">
      <c r="A3" s="2" t="n">
        <v>2</v>
      </c>
      <c r="B3" s="2" t="inlineStr">
        <is>
          <t>Cobb 500</t>
        </is>
      </c>
      <c r="C3" s="2" t="n">
        <v>1.68</v>
      </c>
      <c r="D3" s="2" t="n">
        <v>60</v>
      </c>
    </row>
    <row r="4">
      <c r="A4" s="2" t="n">
        <v>3</v>
      </c>
      <c r="B4" s="2" t="inlineStr">
        <is>
          <t>Arbor Acres</t>
        </is>
      </c>
      <c r="C4" s="2" t="n">
        <v>1.7</v>
      </c>
      <c r="D4" s="2" t="n">
        <v>58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08080"/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6" customWidth="1" min="2" max="2"/>
    <col width="12" customWidth="1" min="3" max="3"/>
    <col width="18" customWidth="1" min="4" max="4"/>
    <col width="18" customWidth="1" min="5" max="5"/>
    <col width="14" customWidth="1" min="6" max="6"/>
  </cols>
  <sheetData>
    <row r="1">
      <c r="A1" s="1" t="inlineStr">
        <is>
          <t>FeedID</t>
        </is>
      </c>
      <c r="B1" s="1" t="inlineStr">
        <is>
          <t>FeedName</t>
        </is>
      </c>
      <c r="C1" s="1" t="inlineStr">
        <is>
          <t>Stage</t>
        </is>
      </c>
      <c r="D1" s="1" t="inlineStr">
        <is>
          <t>UnitCostPerKg_ZMW</t>
        </is>
      </c>
      <c r="E1" s="1" t="inlineStr">
        <is>
          <t>StandardBagWeightKg</t>
        </is>
      </c>
      <c r="F1" s="1" t="inlineStr">
        <is>
          <t>MinStockKg</t>
        </is>
      </c>
    </row>
    <row r="2">
      <c r="A2" s="2" t="n">
        <v>1</v>
      </c>
      <c r="B2" s="2" t="inlineStr">
        <is>
          <t>Starter Mash</t>
        </is>
      </c>
      <c r="C2" s="2" t="inlineStr">
        <is>
          <t>Starter</t>
        </is>
      </c>
      <c r="D2" s="3" t="n">
        <v>12.5</v>
      </c>
      <c r="E2" s="2" t="n">
        <v>50</v>
      </c>
      <c r="F2" s="2" t="n">
        <v>300</v>
      </c>
    </row>
    <row r="3">
      <c r="A3" s="2" t="n">
        <v>2</v>
      </c>
      <c r="B3" s="2" t="inlineStr">
        <is>
          <t>Grower Mash</t>
        </is>
      </c>
      <c r="C3" s="2" t="inlineStr">
        <is>
          <t>Grower</t>
        </is>
      </c>
      <c r="D3" s="3" t="n">
        <v>11.8</v>
      </c>
      <c r="E3" s="2" t="n">
        <v>50</v>
      </c>
      <c r="F3" s="2" t="n">
        <v>400</v>
      </c>
    </row>
    <row r="4">
      <c r="A4" s="2" t="n">
        <v>3</v>
      </c>
      <c r="B4" s="2" t="inlineStr">
        <is>
          <t>Finisher Mash</t>
        </is>
      </c>
      <c r="C4" s="2" t="inlineStr">
        <is>
          <t>Finisher</t>
        </is>
      </c>
      <c r="D4" s="3" t="n">
        <v>11.2</v>
      </c>
      <c r="E4" s="2" t="n">
        <v>50</v>
      </c>
      <c r="F4" s="2" t="n">
        <v>400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4" customWidth="1" min="2" max="2"/>
    <col width="18" customWidth="1" min="3" max="3"/>
    <col width="24" customWidth="1" min="4" max="4"/>
    <col width="16" customWidth="1" min="5" max="5"/>
    <col width="14" customWidth="1" min="6" max="6"/>
  </cols>
  <sheetData>
    <row r="1">
      <c r="A1" s="1" t="inlineStr">
        <is>
          <t>SupplierID</t>
        </is>
      </c>
      <c r="B1" s="1" t="inlineStr">
        <is>
          <t>SupplierName</t>
        </is>
      </c>
      <c r="C1" s="1" t="inlineStr">
        <is>
          <t>Contact</t>
        </is>
      </c>
      <c r="D1" s="1" t="inlineStr">
        <is>
          <t>Email</t>
        </is>
      </c>
      <c r="E1" s="1" t="inlineStr">
        <is>
          <t>Category</t>
        </is>
      </c>
      <c r="F1" s="1" t="inlineStr">
        <is>
          <t>LeadTimeDays</t>
        </is>
      </c>
    </row>
    <row r="2">
      <c r="A2" s="2" t="n">
        <v>1</v>
      </c>
      <c r="B2" s="2" t="inlineStr">
        <is>
          <t>Zamchick Hatchery</t>
        </is>
      </c>
      <c r="C2" s="2" t="inlineStr">
        <is>
          <t>+260-97-111-2222</t>
        </is>
      </c>
      <c r="D2" s="2" t="inlineStr">
        <is>
          <t>sales@zamchick.example</t>
        </is>
      </c>
      <c r="E2" s="2" t="inlineStr">
        <is>
          <t>Day-Old Chicks</t>
        </is>
      </c>
      <c r="F2" s="2" t="n">
        <v>2</v>
      </c>
    </row>
    <row r="3">
      <c r="A3" s="2" t="n">
        <v>2</v>
      </c>
      <c r="B3" s="2" t="inlineStr">
        <is>
          <t>National Milling Co</t>
        </is>
      </c>
      <c r="C3" s="2" t="inlineStr">
        <is>
          <t>+260-96-333-4444</t>
        </is>
      </c>
      <c r="D3" s="2" t="inlineStr">
        <is>
          <t>orders@natmill.example</t>
        </is>
      </c>
      <c r="E3" s="2" t="inlineStr">
        <is>
          <t>Feed</t>
        </is>
      </c>
      <c r="F3" s="2" t="n">
        <v>1</v>
      </c>
    </row>
    <row r="4">
      <c r="A4" s="2" t="n">
        <v>3</v>
      </c>
      <c r="B4" s="2" t="inlineStr">
        <is>
          <t>AgroVet Supplies Ltd</t>
        </is>
      </c>
      <c r="C4" s="2" t="inlineStr">
        <is>
          <t>+260-95-555-6666</t>
        </is>
      </c>
      <c r="D4" s="2" t="inlineStr">
        <is>
          <t>info@agrovet.example</t>
        </is>
      </c>
      <c r="E4" s="2" t="inlineStr">
        <is>
          <t>Veterinary</t>
        </is>
      </c>
      <c r="F4" s="2" t="n">
        <v>3</v>
      </c>
    </row>
    <row r="5">
      <c r="A5" s="2" t="n">
        <v>4</v>
      </c>
      <c r="B5" s="2" t="inlineStr">
        <is>
          <t>Lusaka Wood Shavings Ltd</t>
        </is>
      </c>
      <c r="C5" s="2" t="inlineStr">
        <is>
          <t>+260-97-888-1111</t>
        </is>
      </c>
      <c r="D5" s="2" t="inlineStr">
        <is>
          <t>sales@lusakawood.example</t>
        </is>
      </c>
      <c r="E5" s="2" t="inlineStr">
        <is>
          <t>Bedding/Litter</t>
        </is>
      </c>
      <c r="F5" s="2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808080"/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6" customWidth="1" min="2" max="2"/>
    <col width="18" customWidth="1" min="3" max="3"/>
    <col width="22" customWidth="1" min="4" max="4"/>
    <col width="12" customWidth="1" min="5" max="5"/>
    <col width="18" customWidth="1" min="6" max="6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Contact</t>
        </is>
      </c>
      <c r="D1" s="1" t="inlineStr">
        <is>
          <t>Address</t>
        </is>
      </c>
      <c r="E1" s="1" t="inlineStr">
        <is>
          <t>PriceTier</t>
        </is>
      </c>
      <c r="F1" s="1" t="inlineStr">
        <is>
          <t>PaymentTerms</t>
        </is>
      </c>
    </row>
    <row r="2">
      <c r="A2" s="2" t="n">
        <v>1</v>
      </c>
      <c r="B2" s="2" t="inlineStr">
        <is>
          <t>Shoprite Lusaka</t>
        </is>
      </c>
      <c r="C2" s="2" t="inlineStr">
        <is>
          <t>+260-21-123-4567</t>
        </is>
      </c>
      <c r="D2" s="2" t="inlineStr">
        <is>
          <t>Cairo Road, Lusaka</t>
        </is>
      </c>
      <c r="E2" s="2" t="inlineStr">
        <is>
          <t>Wholesale</t>
        </is>
      </c>
      <c r="F2" s="2" t="inlineStr">
        <is>
          <t>30 Days Credit</t>
        </is>
      </c>
    </row>
    <row r="3">
      <c r="A3" s="2" t="n">
        <v>2</v>
      </c>
      <c r="B3" s="2" t="inlineStr">
        <is>
          <t>Melissa Poultry Traders</t>
        </is>
      </c>
      <c r="C3" s="2" t="inlineStr">
        <is>
          <t>+260-97-777-8888</t>
        </is>
      </c>
      <c r="D3" s="2" t="inlineStr">
        <is>
          <t>Kabwata, Lusaka</t>
        </is>
      </c>
      <c r="E3" s="2" t="inlineStr">
        <is>
          <t>Retail</t>
        </is>
      </c>
      <c r="F3" s="2" t="inlineStr">
        <is>
          <t>Cash on Delivery</t>
        </is>
      </c>
    </row>
    <row r="4">
      <c r="A4" s="2" t="n">
        <v>3</v>
      </c>
      <c r="B4" s="2" t="inlineStr">
        <is>
          <t>City Market Vendors Assoc</t>
        </is>
      </c>
      <c r="C4" s="2" t="inlineStr">
        <is>
          <t>+260-96-222-3333</t>
        </is>
      </c>
      <c r="D4" s="2" t="inlineStr">
        <is>
          <t>City Market, Lusaka</t>
        </is>
      </c>
      <c r="E4" s="2" t="inlineStr">
        <is>
          <t>Bulk</t>
        </is>
      </c>
      <c r="F4" s="2" t="inlineStr">
        <is>
          <t>Cash on Delivery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2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Type</t>
        </is>
      </c>
      <c r="D1" s="1" t="inlineStr">
        <is>
          <t>DosageUnit</t>
        </is>
      </c>
      <c r="E1" s="1" t="inlineStr">
        <is>
          <t>WithdrawalDays</t>
        </is>
      </c>
    </row>
    <row r="2">
      <c r="A2" s="2" t="n">
        <v>1</v>
      </c>
      <c r="B2" s="2" t="inlineStr">
        <is>
          <t>Newcastle Disease Vaccine (Lasota)</t>
        </is>
      </c>
      <c r="C2" s="2" t="inlineStr">
        <is>
          <t>Vaccine</t>
        </is>
      </c>
      <c r="D2" s="2" t="inlineStr">
        <is>
          <t>ml/bird</t>
        </is>
      </c>
      <c r="E2" s="2" t="n">
        <v>0</v>
      </c>
    </row>
    <row r="3">
      <c r="A3" s="2" t="n">
        <v>2</v>
      </c>
      <c r="B3" s="2" t="inlineStr">
        <is>
          <t>Gumboro Vaccine (IBD)</t>
        </is>
      </c>
      <c r="C3" s="2" t="inlineStr">
        <is>
          <t>Vaccine</t>
        </is>
      </c>
      <c r="D3" s="2" t="inlineStr">
        <is>
          <t>ml/bird</t>
        </is>
      </c>
      <c r="E3" s="2" t="n">
        <v>0</v>
      </c>
    </row>
    <row r="4">
      <c r="A4" s="2" t="n">
        <v>3</v>
      </c>
      <c r="B4" s="2" t="inlineStr">
        <is>
          <t>Amoxicillin Oral Solution</t>
        </is>
      </c>
      <c r="C4" s="2" t="inlineStr">
        <is>
          <t>Antibiotic</t>
        </is>
      </c>
      <c r="D4" s="2" t="inlineStr">
        <is>
          <t>ml/L water</t>
        </is>
      </c>
      <c r="E4" s="2" t="n">
        <v>7</v>
      </c>
    </row>
    <row r="5">
      <c r="A5" s="2" t="n">
        <v>4</v>
      </c>
      <c r="B5" s="2" t="inlineStr">
        <is>
          <t>Multivitamin Booster</t>
        </is>
      </c>
      <c r="C5" s="2" t="inlineStr">
        <is>
          <t>Supplement</t>
        </is>
      </c>
      <c r="D5" s="2" t="inlineStr">
        <is>
          <t>ml/L water</t>
        </is>
      </c>
      <c r="E5" s="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808080"/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20" customWidth="1" min="2" max="2"/>
    <col width="16" customWidth="1" min="3" max="3"/>
  </cols>
  <sheetData>
    <row r="1">
      <c r="A1" s="1" t="inlineStr">
        <is>
          <t>UserID</t>
        </is>
      </c>
      <c r="B1" s="1" t="inlineStr">
        <is>
          <t>UserName</t>
        </is>
      </c>
      <c r="C1" s="1" t="inlineStr">
        <is>
          <t>Role</t>
        </is>
      </c>
    </row>
    <row r="2">
      <c r="A2" s="2" t="n">
        <v>1</v>
      </c>
      <c r="B2" s="2" t="inlineStr">
        <is>
          <t>A. Mwansa</t>
        </is>
      </c>
      <c r="C2" s="2" t="inlineStr">
        <is>
          <t>Admin</t>
        </is>
      </c>
    </row>
    <row r="3">
      <c r="A3" s="2" t="n">
        <v>2</v>
      </c>
      <c r="B3" s="2" t="inlineStr">
        <is>
          <t>B. Tembo</t>
        </is>
      </c>
      <c r="C3" s="2" t="inlineStr">
        <is>
          <t>Supervisor</t>
        </is>
      </c>
    </row>
    <row r="4">
      <c r="A4" s="2" t="n">
        <v>3</v>
      </c>
      <c r="B4" s="2" t="inlineStr">
        <is>
          <t>C. Banda</t>
        </is>
      </c>
      <c r="C4" s="2" t="inlineStr">
        <is>
          <t>Entry Clerk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808080"/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2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CompanyName</t>
        </is>
      </c>
      <c r="B2" s="2" t="inlineStr">
        <is>
          <t>FarmNow Limited</t>
        </is>
      </c>
    </row>
    <row r="3">
      <c r="A3" s="2" t="inlineStr">
        <is>
          <t>Location</t>
        </is>
      </c>
      <c r="B3" s="2" t="inlineStr">
        <is>
          <t>Lusaka, Zambia</t>
        </is>
      </c>
    </row>
    <row r="4">
      <c r="A4" s="2" t="inlineStr">
        <is>
          <t>Phone</t>
        </is>
      </c>
      <c r="B4" s="2" t="inlineStr">
        <is>
          <t>+260 000 000000</t>
        </is>
      </c>
    </row>
    <row r="5">
      <c r="A5" s="2" t="inlineStr">
        <is>
          <t>Email</t>
        </is>
      </c>
      <c r="B5" s="2" t="inlineStr">
        <is>
          <t>info@farmnow.example</t>
        </is>
      </c>
    </row>
    <row r="6">
      <c r="A6" s="2" t="inlineStr">
        <is>
          <t>CurrencySymbol</t>
        </is>
      </c>
      <c r="B6" s="2" t="inlineStr">
        <is>
          <t>K</t>
        </is>
      </c>
    </row>
    <row r="7">
      <c r="A7" s="2" t="inlineStr">
        <is>
          <t>ReportCurrency</t>
        </is>
      </c>
      <c r="B7" s="2" t="inlineStr">
        <is>
          <t>ZMW</t>
        </is>
      </c>
    </row>
    <row r="8">
      <c r="A8" s="2" t="inlineStr">
        <is>
          <t>TargetFCR</t>
        </is>
      </c>
      <c r="B8" s="2" t="n">
        <v>1.7</v>
      </c>
    </row>
    <row r="9">
      <c r="A9" s="2" t="inlineStr">
        <is>
          <t>TargetLivabilityPct</t>
        </is>
      </c>
      <c r="B9" s="2" t="n">
        <v>0.95</v>
      </c>
    </row>
    <row r="10">
      <c r="A10" s="2" t="inlineStr">
        <is>
          <t>MortalityAlertThresholdPct</t>
        </is>
      </c>
      <c r="B10" s="2" t="n">
        <v>0.02</v>
      </c>
    </row>
    <row r="11">
      <c r="A11" s="2" t="inlineStr">
        <is>
          <t>MedicineExpiryWarningDays</t>
        </is>
      </c>
      <c r="B11" s="2" t="n">
        <v>30</v>
      </c>
    </row>
    <row r="12">
      <c r="A12" s="2" t="inlineStr">
        <is>
          <t>CurrentFlockCounter</t>
        </is>
      </c>
      <c r="B12" s="2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404040"/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4" t="inlineStr">
        <is>
          <t>PaymentMethod</t>
        </is>
      </c>
      <c r="B1" s="4" t="inlineStr">
        <is>
          <t>LitterCondition</t>
        </is>
      </c>
      <c r="C1" s="4" t="inlineStr">
        <is>
          <t>Ventilation</t>
        </is>
      </c>
      <c r="D1" s="4" t="inlineStr">
        <is>
          <t>ExpenseCategory</t>
        </is>
      </c>
      <c r="E1" s="4" t="inlineStr">
        <is>
          <t>YesNo</t>
        </is>
      </c>
      <c r="F1" s="4" t="inlineStr">
        <is>
          <t>MortalityCause</t>
        </is>
      </c>
      <c r="G1" s="4" t="inlineStr">
        <is>
          <t>VaccinationRoute</t>
        </is>
      </c>
    </row>
    <row r="2">
      <c r="A2" s="2" t="inlineStr">
        <is>
          <t>Cash</t>
        </is>
      </c>
      <c r="B2" s="2" t="inlineStr">
        <is>
          <t>Dry</t>
        </is>
      </c>
      <c r="C2" s="2" t="inlineStr">
        <is>
          <t>Good</t>
        </is>
      </c>
      <c r="D2" s="2" t="inlineStr">
        <is>
          <t>Day-Old Chicks</t>
        </is>
      </c>
      <c r="E2" s="2" t="inlineStr">
        <is>
          <t>Yes</t>
        </is>
      </c>
      <c r="F2" s="2" t="inlineStr">
        <is>
          <t>Normal Culling</t>
        </is>
      </c>
      <c r="G2" s="2" t="inlineStr">
        <is>
          <t>Eye Drop</t>
        </is>
      </c>
    </row>
    <row r="3">
      <c r="A3" s="2" t="inlineStr">
        <is>
          <t>Mobile Money</t>
        </is>
      </c>
      <c r="B3" s="2" t="inlineStr">
        <is>
          <t>Damp</t>
        </is>
      </c>
      <c r="C3" s="2" t="inlineStr">
        <is>
          <t>Fair</t>
        </is>
      </c>
      <c r="D3" s="2" t="inlineStr">
        <is>
          <t>Bedding/Litter</t>
        </is>
      </c>
      <c r="E3" s="2" t="inlineStr">
        <is>
          <t>No</t>
        </is>
      </c>
      <c r="F3" s="2" t="inlineStr">
        <is>
          <t>Heat Stress</t>
        </is>
      </c>
      <c r="G3" s="2" t="inlineStr">
        <is>
          <t>Drinking Water</t>
        </is>
      </c>
    </row>
    <row r="4">
      <c r="A4" s="2" t="inlineStr">
        <is>
          <t>Bank Transfer</t>
        </is>
      </c>
      <c r="B4" s="2" t="inlineStr">
        <is>
          <t>Wet</t>
        </is>
      </c>
      <c r="C4" s="2" t="inlineStr">
        <is>
          <t>Poor</t>
        </is>
      </c>
      <c r="D4" s="2" t="inlineStr">
        <is>
          <t>Utilities</t>
        </is>
      </c>
      <c r="F4" s="2" t="inlineStr">
        <is>
          <t>Disease</t>
        </is>
      </c>
      <c r="G4" s="2" t="inlineStr">
        <is>
          <t>Injection</t>
        </is>
      </c>
    </row>
    <row r="5">
      <c r="A5" s="2" t="inlineStr">
        <is>
          <t>Cheque</t>
        </is>
      </c>
      <c r="B5" s="2" t="inlineStr">
        <is>
          <t>Needs Changing</t>
        </is>
      </c>
      <c r="D5" s="2" t="inlineStr">
        <is>
          <t>Labour</t>
        </is>
      </c>
      <c r="F5" s="2" t="inlineStr">
        <is>
          <t>Predator</t>
        </is>
      </c>
      <c r="G5" s="2" t="inlineStr">
        <is>
          <t>Spray</t>
        </is>
      </c>
    </row>
    <row r="6">
      <c r="A6" s="2" t="inlineStr">
        <is>
          <t>Credit</t>
        </is>
      </c>
      <c r="D6" s="2" t="inlineStr">
        <is>
          <t>Transport</t>
        </is>
      </c>
      <c r="F6" s="2" t="inlineStr">
        <is>
          <t>Cold Stress</t>
        </is>
      </c>
    </row>
    <row r="7">
      <c r="D7" s="2" t="inlineStr">
        <is>
          <t>Veterinary</t>
        </is>
      </c>
      <c r="F7" s="2" t="inlineStr">
        <is>
          <t>Other</t>
        </is>
      </c>
    </row>
    <row r="8">
      <c r="D8" s="2" t="inlineStr">
        <is>
          <t>Heater/Fuel</t>
        </is>
      </c>
    </row>
    <row r="9">
      <c r="D9" s="2" t="inlineStr">
        <is>
          <t>Miscellaneous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548235"/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0" customWidth="1" min="2" max="2"/>
    <col width="10" customWidth="1" min="3" max="3"/>
    <col width="14" customWidth="1" min="4" max="4"/>
    <col width="16" customWidth="1" min="5" max="5"/>
    <col width="12" customWidth="1" min="6" max="6"/>
    <col width="20" customWidth="1" min="7" max="7"/>
    <col width="10" customWidth="1" min="8" max="8"/>
  </cols>
  <sheetData>
    <row r="1">
      <c r="A1" s="5" t="inlineStr">
        <is>
          <t>FlockID</t>
        </is>
      </c>
      <c r="B1" s="5" t="inlineStr">
        <is>
          <t>HouseID</t>
        </is>
      </c>
      <c r="C1" s="5" t="inlineStr">
        <is>
          <t>BreedID</t>
        </is>
      </c>
      <c r="D1" s="5" t="inlineStr">
        <is>
          <t>PlacedDate</t>
        </is>
      </c>
      <c r="E1" s="5" t="inlineStr">
        <is>
          <t>InitialBirdCount</t>
        </is>
      </c>
      <c r="F1" s="5" t="inlineStr">
        <is>
          <t>SupplierID</t>
        </is>
      </c>
      <c r="G1" s="5" t="inlineStr">
        <is>
          <t>ExpectedDispatchDate</t>
        </is>
      </c>
      <c r="H1" s="5" t="inlineStr">
        <is>
          <t>Status</t>
        </is>
      </c>
    </row>
    <row r="2">
      <c r="A2" s="2" t="inlineStr">
        <is>
          <t>FLK-001</t>
        </is>
      </c>
      <c r="B2" s="2" t="n">
        <v>1</v>
      </c>
      <c r="C2" s="2" t="n">
        <v>1</v>
      </c>
      <c r="D2" s="6" t="n">
        <v>46162</v>
      </c>
      <c r="E2" s="7" t="n">
        <v>5000</v>
      </c>
      <c r="F2" s="2" t="n">
        <v>1</v>
      </c>
      <c r="G2" s="6" t="n">
        <v>46204</v>
      </c>
      <c r="H2" s="2" t="inlineStr">
        <is>
          <t>Closed</t>
        </is>
      </c>
    </row>
    <row r="3">
      <c r="A3" s="2" t="inlineStr">
        <is>
          <t>FLK-002</t>
        </is>
      </c>
      <c r="B3" s="2" t="n">
        <v>2</v>
      </c>
      <c r="C3" s="2" t="n">
        <v>2</v>
      </c>
      <c r="D3" s="6" t="n">
        <v>46198</v>
      </c>
      <c r="E3" s="7" t="n">
        <v>5000</v>
      </c>
      <c r="F3" s="2" t="n">
        <v>1</v>
      </c>
      <c r="G3" s="6" t="n">
        <v>46240</v>
      </c>
      <c r="H3" s="2" t="inlineStr">
        <is>
          <t>Active</t>
        </is>
      </c>
    </row>
    <row r="4">
      <c r="A4" s="2" t="inlineStr">
        <is>
          <t>FLK-003</t>
        </is>
      </c>
      <c r="B4" s="2" t="n">
        <v>3</v>
      </c>
      <c r="C4" s="2" t="n">
        <v>1</v>
      </c>
      <c r="D4" s="6" t="n">
        <v>46218</v>
      </c>
      <c r="E4" s="7" t="n">
        <v>4000</v>
      </c>
      <c r="F4" s="2" t="n">
        <v>1</v>
      </c>
      <c r="G4" s="6" t="n">
        <v>46260</v>
      </c>
      <c r="H4" s="2" t="inlineStr">
        <is>
          <t>Active</t>
        </is>
      </c>
    </row>
    <row r="5">
      <c r="A5" s="2" t="inlineStr">
        <is>
          <t>FLK-004</t>
        </is>
      </c>
      <c r="B5" s="2" t="n">
        <v>1</v>
      </c>
      <c r="C5" s="2" t="n">
        <v>3</v>
      </c>
      <c r="D5" s="6" t="n">
        <v>46235</v>
      </c>
      <c r="E5" s="7" t="n">
        <v>5000</v>
      </c>
      <c r="F5" s="2" t="n">
        <v>1</v>
      </c>
      <c r="G5" s="6" t="n">
        <v>46277</v>
      </c>
      <c r="H5" s="2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548235"/>
    <outlinePr summaryBelow="1" summaryRight="1"/>
    <pageSetUpPr/>
  </sheetPr>
  <dimension ref="A1:H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0" customWidth="1" min="2" max="2"/>
    <col width="12" customWidth="1" min="3" max="3"/>
    <col width="16" customWidth="1" min="4" max="4"/>
    <col width="16" customWidth="1" min="5" max="5"/>
    <col width="18" customWidth="1" min="6" max="6"/>
    <col width="14" customWidth="1" min="7" max="7"/>
    <col width="10" customWidth="1" min="8" max="8"/>
  </cols>
  <sheetData>
    <row r="1">
      <c r="A1" s="5" t="inlineStr">
        <is>
          <t>EntryID</t>
        </is>
      </c>
      <c r="B1" s="5" t="inlineStr">
        <is>
          <t>FlockID</t>
        </is>
      </c>
      <c r="C1" s="5" t="inlineStr">
        <is>
          <t>Date</t>
        </is>
      </c>
      <c r="D1" s="5" t="inlineStr">
        <is>
          <t>MortalityCount</t>
        </is>
      </c>
      <c r="E1" s="5" t="inlineStr">
        <is>
          <t>Cause</t>
        </is>
      </c>
      <c r="F1" s="5" t="inlineStr">
        <is>
          <t>CumulativeMortality</t>
        </is>
      </c>
      <c r="G1" s="5" t="inlineStr">
        <is>
          <t>EnteredBy</t>
        </is>
      </c>
      <c r="H1" s="5" t="inlineStr">
        <is>
          <t>IsActive</t>
        </is>
      </c>
    </row>
    <row r="2">
      <c r="A2" s="2" t="inlineStr">
        <is>
          <t>MORT-0001</t>
        </is>
      </c>
      <c r="B2" s="2" t="inlineStr">
        <is>
          <t>FLK-001</t>
        </is>
      </c>
      <c r="C2" s="6" t="n">
        <v>46162</v>
      </c>
      <c r="D2" s="7" t="n">
        <v>8</v>
      </c>
      <c r="E2" s="2" t="inlineStr">
        <is>
          <t>Normal Culling</t>
        </is>
      </c>
      <c r="F2" s="7">
        <f>SUMIFS(reg_DailyMortality[MortalityCount],reg_DailyMortality[FlockID],$B2,reg_DailyMortality[Date],"&lt;="&amp;$C2)</f>
        <v/>
      </c>
      <c r="G2" s="2" t="inlineStr">
        <is>
          <t>C. Banda</t>
        </is>
      </c>
      <c r="H2" s="2" t="inlineStr">
        <is>
          <t>Yes</t>
        </is>
      </c>
    </row>
    <row r="3">
      <c r="A3" s="2" t="inlineStr">
        <is>
          <t>MORT-0002</t>
        </is>
      </c>
      <c r="B3" s="2" t="inlineStr">
        <is>
          <t>FLK-001</t>
        </is>
      </c>
      <c r="C3" s="6" t="n">
        <v>46166</v>
      </c>
      <c r="D3" s="7" t="n">
        <v>7</v>
      </c>
      <c r="E3" s="2" t="inlineStr">
        <is>
          <t>Heat Stress</t>
        </is>
      </c>
      <c r="F3" s="7">
        <f>SUMIFS(reg_DailyMortality[MortalityCount],reg_DailyMortality[FlockID],$B3,reg_DailyMortality[Date],"&lt;="&amp;$C3)</f>
        <v/>
      </c>
      <c r="G3" s="2" t="inlineStr">
        <is>
          <t>B. Tembo</t>
        </is>
      </c>
      <c r="H3" s="2" t="inlineStr">
        <is>
          <t>Yes</t>
        </is>
      </c>
    </row>
    <row r="4">
      <c r="A4" s="2" t="inlineStr">
        <is>
          <t>MORT-0003</t>
        </is>
      </c>
      <c r="B4" s="2" t="inlineStr">
        <is>
          <t>FLK-001</t>
        </is>
      </c>
      <c r="C4" s="6" t="n">
        <v>46170</v>
      </c>
      <c r="D4" s="7" t="n">
        <v>1</v>
      </c>
      <c r="E4" s="2" t="inlineStr">
        <is>
          <t>Disease</t>
        </is>
      </c>
      <c r="F4" s="7">
        <f>SUMIFS(reg_DailyMortality[MortalityCount],reg_DailyMortality[FlockID],$B4,reg_DailyMortality[Date],"&lt;="&amp;$C4)</f>
        <v/>
      </c>
      <c r="G4" s="2" t="inlineStr">
        <is>
          <t>C. Banda</t>
        </is>
      </c>
      <c r="H4" s="2" t="inlineStr">
        <is>
          <t>Yes</t>
        </is>
      </c>
    </row>
    <row r="5">
      <c r="A5" s="2" t="inlineStr">
        <is>
          <t>MORT-0004</t>
        </is>
      </c>
      <c r="B5" s="2" t="inlineStr">
        <is>
          <t>FLK-001</t>
        </is>
      </c>
      <c r="C5" s="6" t="n">
        <v>46174</v>
      </c>
      <c r="D5" s="7" t="n">
        <v>3</v>
      </c>
      <c r="E5" s="2" t="inlineStr">
        <is>
          <t>Normal Culling</t>
        </is>
      </c>
      <c r="F5" s="7">
        <f>SUMIFS(reg_DailyMortality[MortalityCount],reg_DailyMortality[FlockID],$B5,reg_DailyMortality[Date],"&lt;="&amp;$C5)</f>
        <v/>
      </c>
      <c r="G5" s="2" t="inlineStr">
        <is>
          <t>C. Banda</t>
        </is>
      </c>
      <c r="H5" s="2" t="inlineStr">
        <is>
          <t>Yes</t>
        </is>
      </c>
    </row>
    <row r="6">
      <c r="A6" s="2" t="inlineStr">
        <is>
          <t>MORT-0005</t>
        </is>
      </c>
      <c r="B6" s="2" t="inlineStr">
        <is>
          <t>FLK-001</t>
        </is>
      </c>
      <c r="C6" s="6" t="n">
        <v>46178</v>
      </c>
      <c r="D6" s="7" t="n">
        <v>2</v>
      </c>
      <c r="E6" s="2" t="inlineStr">
        <is>
          <t>Normal Culling</t>
        </is>
      </c>
      <c r="F6" s="7">
        <f>SUMIFS(reg_DailyMortality[MortalityCount],reg_DailyMortality[FlockID],$B6,reg_DailyMortality[Date],"&lt;="&amp;$C6)</f>
        <v/>
      </c>
      <c r="G6" s="2" t="inlineStr">
        <is>
          <t>B. Tembo</t>
        </is>
      </c>
      <c r="H6" s="2" t="inlineStr">
        <is>
          <t>Yes</t>
        </is>
      </c>
    </row>
    <row r="7">
      <c r="A7" s="2" t="inlineStr">
        <is>
          <t>MORT-0006</t>
        </is>
      </c>
      <c r="B7" s="2" t="inlineStr">
        <is>
          <t>FLK-001</t>
        </is>
      </c>
      <c r="C7" s="6" t="n">
        <v>46182</v>
      </c>
      <c r="D7" s="7" t="n">
        <v>1</v>
      </c>
      <c r="E7" s="2" t="inlineStr">
        <is>
          <t>Heat Stress</t>
        </is>
      </c>
      <c r="F7" s="7">
        <f>SUMIFS(reg_DailyMortality[MortalityCount],reg_DailyMortality[FlockID],$B7,reg_DailyMortality[Date],"&lt;="&amp;$C7)</f>
        <v/>
      </c>
      <c r="G7" s="2" t="inlineStr">
        <is>
          <t>C. Banda</t>
        </is>
      </c>
      <c r="H7" s="2" t="inlineStr">
        <is>
          <t>Yes</t>
        </is>
      </c>
    </row>
    <row r="8">
      <c r="A8" s="2" t="inlineStr">
        <is>
          <t>MORT-0007</t>
        </is>
      </c>
      <c r="B8" s="2" t="inlineStr">
        <is>
          <t>FLK-001</t>
        </is>
      </c>
      <c r="C8" s="6" t="n">
        <v>46186</v>
      </c>
      <c r="D8" s="7" t="n">
        <v>2</v>
      </c>
      <c r="E8" s="2" t="inlineStr">
        <is>
          <t>Disease</t>
        </is>
      </c>
      <c r="F8" s="7">
        <f>SUMIFS(reg_DailyMortality[MortalityCount],reg_DailyMortality[FlockID],$B8,reg_DailyMortality[Date],"&lt;="&amp;$C8)</f>
        <v/>
      </c>
      <c r="G8" s="2" t="inlineStr">
        <is>
          <t>C. Banda</t>
        </is>
      </c>
      <c r="H8" s="2" t="inlineStr">
        <is>
          <t>Yes</t>
        </is>
      </c>
    </row>
    <row r="9">
      <c r="A9" s="2" t="inlineStr">
        <is>
          <t>MORT-0008</t>
        </is>
      </c>
      <c r="B9" s="2" t="inlineStr">
        <is>
          <t>FLK-001</t>
        </is>
      </c>
      <c r="C9" s="6" t="n">
        <v>46190</v>
      </c>
      <c r="D9" s="7" t="n">
        <v>1</v>
      </c>
      <c r="E9" s="2" t="inlineStr">
        <is>
          <t>Normal Culling</t>
        </is>
      </c>
      <c r="F9" s="7">
        <f>SUMIFS(reg_DailyMortality[MortalityCount],reg_DailyMortality[FlockID],$B9,reg_DailyMortality[Date],"&lt;="&amp;$C9)</f>
        <v/>
      </c>
      <c r="G9" s="2" t="inlineStr">
        <is>
          <t>B. Tembo</t>
        </is>
      </c>
      <c r="H9" s="2" t="inlineStr">
        <is>
          <t>Yes</t>
        </is>
      </c>
    </row>
    <row r="10">
      <c r="A10" s="2" t="inlineStr">
        <is>
          <t>MORT-0009</t>
        </is>
      </c>
      <c r="B10" s="2" t="inlineStr">
        <is>
          <t>FLK-001</t>
        </is>
      </c>
      <c r="C10" s="6" t="n">
        <v>46194</v>
      </c>
      <c r="D10" s="7" t="n">
        <v>1</v>
      </c>
      <c r="E10" s="2" t="inlineStr">
        <is>
          <t>Normal Culling</t>
        </is>
      </c>
      <c r="F10" s="7">
        <f>SUMIFS(reg_DailyMortality[MortalityCount],reg_DailyMortality[FlockID],$B10,reg_DailyMortality[Date],"&lt;="&amp;$C10)</f>
        <v/>
      </c>
      <c r="G10" s="2" t="inlineStr">
        <is>
          <t>C. Banda</t>
        </is>
      </c>
      <c r="H10" s="2" t="inlineStr">
        <is>
          <t>Yes</t>
        </is>
      </c>
    </row>
    <row r="11">
      <c r="A11" s="2" t="inlineStr">
        <is>
          <t>MORT-0010</t>
        </is>
      </c>
      <c r="B11" s="2" t="inlineStr">
        <is>
          <t>FLK-001</t>
        </is>
      </c>
      <c r="C11" s="6" t="n">
        <v>46198</v>
      </c>
      <c r="D11" s="7" t="n">
        <v>2</v>
      </c>
      <c r="E11" s="2" t="inlineStr">
        <is>
          <t>Heat Stress</t>
        </is>
      </c>
      <c r="F11" s="7">
        <f>SUMIFS(reg_DailyMortality[MortalityCount],reg_DailyMortality[FlockID],$B11,reg_DailyMortality[Date],"&lt;="&amp;$C11)</f>
        <v/>
      </c>
      <c r="G11" s="2" t="inlineStr">
        <is>
          <t>C. Banda</t>
        </is>
      </c>
      <c r="H11" s="2" t="inlineStr">
        <is>
          <t>Yes</t>
        </is>
      </c>
    </row>
    <row r="12">
      <c r="A12" s="2" t="inlineStr">
        <is>
          <t>MORT-0011</t>
        </is>
      </c>
      <c r="B12" s="2" t="inlineStr">
        <is>
          <t>FLK-001</t>
        </is>
      </c>
      <c r="C12" s="6" t="n">
        <v>46202</v>
      </c>
      <c r="D12" s="7" t="n">
        <v>1</v>
      </c>
      <c r="E12" s="2" t="inlineStr">
        <is>
          <t>Disease</t>
        </is>
      </c>
      <c r="F12" s="7">
        <f>SUMIFS(reg_DailyMortality[MortalityCount],reg_DailyMortality[FlockID],$B12,reg_DailyMortality[Date],"&lt;="&amp;$C12)</f>
        <v/>
      </c>
      <c r="G12" s="2" t="inlineStr">
        <is>
          <t>B. Tembo</t>
        </is>
      </c>
      <c r="H12" s="2" t="inlineStr">
        <is>
          <t>Yes</t>
        </is>
      </c>
    </row>
    <row r="13">
      <c r="A13" s="2" t="inlineStr">
        <is>
          <t>MORT-0012</t>
        </is>
      </c>
      <c r="B13" s="2" t="inlineStr">
        <is>
          <t>FLK-002</t>
        </is>
      </c>
      <c r="C13" s="6" t="n">
        <v>46198</v>
      </c>
      <c r="D13" s="7" t="n">
        <v>10</v>
      </c>
      <c r="E13" s="2" t="inlineStr">
        <is>
          <t>Normal Culling</t>
        </is>
      </c>
      <c r="F13" s="7">
        <f>SUMIFS(reg_DailyMortality[MortalityCount],reg_DailyMortality[FlockID],$B13,reg_DailyMortality[Date],"&lt;="&amp;$C13)</f>
        <v/>
      </c>
      <c r="G13" s="2" t="inlineStr">
        <is>
          <t>C. Banda</t>
        </is>
      </c>
      <c r="H13" s="2" t="inlineStr">
        <is>
          <t>Yes</t>
        </is>
      </c>
    </row>
    <row r="14">
      <c r="A14" s="2" t="inlineStr">
        <is>
          <t>MORT-0013</t>
        </is>
      </c>
      <c r="B14" s="2" t="inlineStr">
        <is>
          <t>FLK-002</t>
        </is>
      </c>
      <c r="C14" s="6" t="n">
        <v>46202</v>
      </c>
      <c r="D14" s="7" t="n">
        <v>8</v>
      </c>
      <c r="E14" s="2" t="inlineStr">
        <is>
          <t>Heat Stress</t>
        </is>
      </c>
      <c r="F14" s="7">
        <f>SUMIFS(reg_DailyMortality[MortalityCount],reg_DailyMortality[FlockID],$B14,reg_DailyMortality[Date],"&lt;="&amp;$C14)</f>
        <v/>
      </c>
      <c r="G14" s="2" t="inlineStr">
        <is>
          <t>B. Tembo</t>
        </is>
      </c>
      <c r="H14" s="2" t="inlineStr">
        <is>
          <t>Yes</t>
        </is>
      </c>
    </row>
    <row r="15">
      <c r="A15" s="2" t="inlineStr">
        <is>
          <t>MORT-0014</t>
        </is>
      </c>
      <c r="B15" s="2" t="inlineStr">
        <is>
          <t>FLK-002</t>
        </is>
      </c>
      <c r="C15" s="6" t="n">
        <v>46206</v>
      </c>
      <c r="D15" s="7" t="n">
        <v>1</v>
      </c>
      <c r="E15" s="2" t="inlineStr">
        <is>
          <t>Disease</t>
        </is>
      </c>
      <c r="F15" s="7">
        <f>SUMIFS(reg_DailyMortality[MortalityCount],reg_DailyMortality[FlockID],$B15,reg_DailyMortality[Date],"&lt;="&amp;$C15)</f>
        <v/>
      </c>
      <c r="G15" s="2" t="inlineStr">
        <is>
          <t>C. Banda</t>
        </is>
      </c>
      <c r="H15" s="2" t="inlineStr">
        <is>
          <t>Yes</t>
        </is>
      </c>
    </row>
    <row r="16">
      <c r="A16" s="2" t="inlineStr">
        <is>
          <t>MORT-0015</t>
        </is>
      </c>
      <c r="B16" s="2" t="inlineStr">
        <is>
          <t>FLK-002</t>
        </is>
      </c>
      <c r="C16" s="6" t="n">
        <v>46210</v>
      </c>
      <c r="D16" s="7" t="n">
        <v>4</v>
      </c>
      <c r="E16" s="2" t="inlineStr">
        <is>
          <t>Normal Culling</t>
        </is>
      </c>
      <c r="F16" s="7">
        <f>SUMIFS(reg_DailyMortality[MortalityCount],reg_DailyMortality[FlockID],$B16,reg_DailyMortality[Date],"&lt;="&amp;$C16)</f>
        <v/>
      </c>
      <c r="G16" s="2" t="inlineStr">
        <is>
          <t>C. Banda</t>
        </is>
      </c>
      <c r="H16" s="2" t="inlineStr">
        <is>
          <t>Yes</t>
        </is>
      </c>
    </row>
    <row r="17">
      <c r="A17" s="2" t="inlineStr">
        <is>
          <t>MORT-0016</t>
        </is>
      </c>
      <c r="B17" s="2" t="inlineStr">
        <is>
          <t>FLK-002</t>
        </is>
      </c>
      <c r="C17" s="6" t="n">
        <v>46214</v>
      </c>
      <c r="D17" s="7" t="n">
        <v>2</v>
      </c>
      <c r="E17" s="2" t="inlineStr">
        <is>
          <t>Normal Culling</t>
        </is>
      </c>
      <c r="F17" s="7">
        <f>SUMIFS(reg_DailyMortality[MortalityCount],reg_DailyMortality[FlockID],$B17,reg_DailyMortality[Date],"&lt;="&amp;$C17)</f>
        <v/>
      </c>
      <c r="G17" s="2" t="inlineStr">
        <is>
          <t>B. Tembo</t>
        </is>
      </c>
      <c r="H17" s="2" t="inlineStr">
        <is>
          <t>Yes</t>
        </is>
      </c>
    </row>
    <row r="18">
      <c r="A18" s="2" t="inlineStr">
        <is>
          <t>MORT-0017</t>
        </is>
      </c>
      <c r="B18" s="2" t="inlineStr">
        <is>
          <t>FLK-002</t>
        </is>
      </c>
      <c r="C18" s="6" t="n">
        <v>46218</v>
      </c>
      <c r="D18" s="7" t="n">
        <v>1</v>
      </c>
      <c r="E18" s="2" t="inlineStr">
        <is>
          <t>Heat Stress</t>
        </is>
      </c>
      <c r="F18" s="7">
        <f>SUMIFS(reg_DailyMortality[MortalityCount],reg_DailyMortality[FlockID],$B18,reg_DailyMortality[Date],"&lt;="&amp;$C18)</f>
        <v/>
      </c>
      <c r="G18" s="2" t="inlineStr">
        <is>
          <t>C. Banda</t>
        </is>
      </c>
      <c r="H18" s="2" t="inlineStr">
        <is>
          <t>Yes</t>
        </is>
      </c>
    </row>
    <row r="19">
      <c r="A19" s="2" t="inlineStr">
        <is>
          <t>MORT-0018</t>
        </is>
      </c>
      <c r="B19" s="2" t="inlineStr">
        <is>
          <t>FLK-002</t>
        </is>
      </c>
      <c r="C19" s="6" t="n">
        <v>46222</v>
      </c>
      <c r="D19" s="7" t="n">
        <v>2</v>
      </c>
      <c r="E19" s="2" t="inlineStr">
        <is>
          <t>Disease</t>
        </is>
      </c>
      <c r="F19" s="7">
        <f>SUMIFS(reg_DailyMortality[MortalityCount],reg_DailyMortality[FlockID],$B19,reg_DailyMortality[Date],"&lt;="&amp;$C19)</f>
        <v/>
      </c>
      <c r="G19" s="2" t="inlineStr">
        <is>
          <t>C. Banda</t>
        </is>
      </c>
      <c r="H19" s="2" t="inlineStr">
        <is>
          <t>Yes</t>
        </is>
      </c>
    </row>
    <row r="20">
      <c r="A20" s="2" t="inlineStr">
        <is>
          <t>MORT-0019</t>
        </is>
      </c>
      <c r="B20" s="2" t="inlineStr">
        <is>
          <t>FLK-002</t>
        </is>
      </c>
      <c r="C20" s="6" t="n">
        <v>46226</v>
      </c>
      <c r="D20" s="7" t="n">
        <v>1</v>
      </c>
      <c r="E20" s="2" t="inlineStr">
        <is>
          <t>Normal Culling</t>
        </is>
      </c>
      <c r="F20" s="7">
        <f>SUMIFS(reg_DailyMortality[MortalityCount],reg_DailyMortality[FlockID],$B20,reg_DailyMortality[Date],"&lt;="&amp;$C20)</f>
        <v/>
      </c>
      <c r="G20" s="2" t="inlineStr">
        <is>
          <t>B. Tembo</t>
        </is>
      </c>
      <c r="H20" s="2" t="inlineStr">
        <is>
          <t>Yes</t>
        </is>
      </c>
    </row>
    <row r="21">
      <c r="A21" s="2" t="inlineStr">
        <is>
          <t>MORT-0020</t>
        </is>
      </c>
      <c r="B21" s="2" t="inlineStr">
        <is>
          <t>FLK-002</t>
        </is>
      </c>
      <c r="C21" s="6" t="n">
        <v>46230</v>
      </c>
      <c r="D21" s="7" t="n">
        <v>1</v>
      </c>
      <c r="E21" s="2" t="inlineStr">
        <is>
          <t>Normal Culling</t>
        </is>
      </c>
      <c r="F21" s="7">
        <f>SUMIFS(reg_DailyMortality[MortalityCount],reg_DailyMortality[FlockID],$B21,reg_DailyMortality[Date],"&lt;="&amp;$C21)</f>
        <v/>
      </c>
      <c r="G21" s="2" t="inlineStr">
        <is>
          <t>C. Banda</t>
        </is>
      </c>
      <c r="H21" s="2" t="inlineStr">
        <is>
          <t>Yes</t>
        </is>
      </c>
    </row>
    <row r="22">
      <c r="A22" s="2" t="inlineStr">
        <is>
          <t>MORT-0021</t>
        </is>
      </c>
      <c r="B22" s="2" t="inlineStr">
        <is>
          <t>FLK-002</t>
        </is>
      </c>
      <c r="C22" s="6" t="n">
        <v>46234</v>
      </c>
      <c r="D22" s="7" t="n">
        <v>2</v>
      </c>
      <c r="E22" s="2" t="inlineStr">
        <is>
          <t>Heat Stress</t>
        </is>
      </c>
      <c r="F22" s="7">
        <f>SUMIFS(reg_DailyMortality[MortalityCount],reg_DailyMortality[FlockID],$B22,reg_DailyMortality[Date],"&lt;="&amp;$C22)</f>
        <v/>
      </c>
      <c r="G22" s="2" t="inlineStr">
        <is>
          <t>C. Banda</t>
        </is>
      </c>
      <c r="H22" s="2" t="inlineStr">
        <is>
          <t>Yes</t>
        </is>
      </c>
    </row>
    <row r="23">
      <c r="A23" s="2" t="inlineStr">
        <is>
          <t>MORT-0022</t>
        </is>
      </c>
      <c r="B23" s="2" t="inlineStr">
        <is>
          <t>FLK-002</t>
        </is>
      </c>
      <c r="C23" s="6" t="n">
        <v>46238</v>
      </c>
      <c r="D23" s="7" t="n">
        <v>1</v>
      </c>
      <c r="E23" s="2" t="inlineStr">
        <is>
          <t>Disease</t>
        </is>
      </c>
      <c r="F23" s="7">
        <f>SUMIFS(reg_DailyMortality[MortalityCount],reg_DailyMortality[FlockID],$B23,reg_DailyMortality[Date],"&lt;="&amp;$C23)</f>
        <v/>
      </c>
      <c r="G23" s="2" t="inlineStr">
        <is>
          <t>B. Tembo</t>
        </is>
      </c>
      <c r="H23" s="2" t="inlineStr">
        <is>
          <t>Yes</t>
        </is>
      </c>
    </row>
    <row r="24">
      <c r="A24" s="2" t="inlineStr">
        <is>
          <t>MORT-0023</t>
        </is>
      </c>
      <c r="B24" s="2" t="inlineStr">
        <is>
          <t>FLK-003</t>
        </is>
      </c>
      <c r="C24" s="6" t="n">
        <v>46218</v>
      </c>
      <c r="D24" s="7" t="n">
        <v>7</v>
      </c>
      <c r="E24" s="2" t="inlineStr">
        <is>
          <t>Normal Culling</t>
        </is>
      </c>
      <c r="F24" s="7">
        <f>SUMIFS(reg_DailyMortality[MortalityCount],reg_DailyMortality[FlockID],$B24,reg_DailyMortality[Date],"&lt;="&amp;$C24)</f>
        <v/>
      </c>
      <c r="G24" s="2" t="inlineStr">
        <is>
          <t>C. Banda</t>
        </is>
      </c>
      <c r="H24" s="2" t="inlineStr">
        <is>
          <t>Yes</t>
        </is>
      </c>
    </row>
    <row r="25">
      <c r="A25" s="2" t="inlineStr">
        <is>
          <t>MORT-0024</t>
        </is>
      </c>
      <c r="B25" s="2" t="inlineStr">
        <is>
          <t>FLK-003</t>
        </is>
      </c>
      <c r="C25" s="6" t="n">
        <v>46222</v>
      </c>
      <c r="D25" s="7" t="n">
        <v>6</v>
      </c>
      <c r="E25" s="2" t="inlineStr">
        <is>
          <t>Heat Stress</t>
        </is>
      </c>
      <c r="F25" s="7">
        <f>SUMIFS(reg_DailyMortality[MortalityCount],reg_DailyMortality[FlockID],$B25,reg_DailyMortality[Date],"&lt;="&amp;$C25)</f>
        <v/>
      </c>
      <c r="G25" s="2" t="inlineStr">
        <is>
          <t>B. Tembo</t>
        </is>
      </c>
      <c r="H25" s="2" t="inlineStr">
        <is>
          <t>Yes</t>
        </is>
      </c>
    </row>
    <row r="26">
      <c r="A26" s="2" t="inlineStr">
        <is>
          <t>MORT-0025</t>
        </is>
      </c>
      <c r="B26" s="2" t="inlineStr">
        <is>
          <t>FLK-003</t>
        </is>
      </c>
      <c r="C26" s="6" t="n">
        <v>46226</v>
      </c>
      <c r="D26" s="7" t="n">
        <v>1</v>
      </c>
      <c r="E26" s="2" t="inlineStr">
        <is>
          <t>Disease</t>
        </is>
      </c>
      <c r="F26" s="7">
        <f>SUMIFS(reg_DailyMortality[MortalityCount],reg_DailyMortality[FlockID],$B26,reg_DailyMortality[Date],"&lt;="&amp;$C26)</f>
        <v/>
      </c>
      <c r="G26" s="2" t="inlineStr">
        <is>
          <t>C. Banda</t>
        </is>
      </c>
      <c r="H26" s="2" t="inlineStr">
        <is>
          <t>Yes</t>
        </is>
      </c>
    </row>
    <row r="27">
      <c r="A27" s="2" t="inlineStr">
        <is>
          <t>MORT-0026</t>
        </is>
      </c>
      <c r="B27" s="2" t="inlineStr">
        <is>
          <t>FLK-003</t>
        </is>
      </c>
      <c r="C27" s="6" t="n">
        <v>46230</v>
      </c>
      <c r="D27" s="7" t="n">
        <v>3</v>
      </c>
      <c r="E27" s="2" t="inlineStr">
        <is>
          <t>Normal Culling</t>
        </is>
      </c>
      <c r="F27" s="7">
        <f>SUMIFS(reg_DailyMortality[MortalityCount],reg_DailyMortality[FlockID],$B27,reg_DailyMortality[Date],"&lt;="&amp;$C27)</f>
        <v/>
      </c>
      <c r="G27" s="2" t="inlineStr">
        <is>
          <t>C. Banda</t>
        </is>
      </c>
      <c r="H27" s="2" t="inlineStr">
        <is>
          <t>Yes</t>
        </is>
      </c>
    </row>
    <row r="28">
      <c r="A28" s="2" t="inlineStr">
        <is>
          <t>MORT-0027</t>
        </is>
      </c>
      <c r="B28" s="2" t="inlineStr">
        <is>
          <t>FLK-003</t>
        </is>
      </c>
      <c r="C28" s="6" t="n">
        <v>46234</v>
      </c>
      <c r="D28" s="7" t="n">
        <v>2</v>
      </c>
      <c r="E28" s="2" t="inlineStr">
        <is>
          <t>Normal Culling</t>
        </is>
      </c>
      <c r="F28" s="7">
        <f>SUMIFS(reg_DailyMortality[MortalityCount],reg_DailyMortality[FlockID],$B28,reg_DailyMortality[Date],"&lt;="&amp;$C28)</f>
        <v/>
      </c>
      <c r="G28" s="2" t="inlineStr">
        <is>
          <t>B. Tembo</t>
        </is>
      </c>
      <c r="H28" s="2" t="inlineStr">
        <is>
          <t>Yes</t>
        </is>
      </c>
    </row>
    <row r="29">
      <c r="A29" s="2" t="inlineStr">
        <is>
          <t>MORT-0028</t>
        </is>
      </c>
      <c r="B29" s="2" t="inlineStr">
        <is>
          <t>FLK-003</t>
        </is>
      </c>
      <c r="C29" s="6" t="n">
        <v>46238</v>
      </c>
      <c r="D29" s="7" t="n">
        <v>1</v>
      </c>
      <c r="E29" s="2" t="inlineStr">
        <is>
          <t>Heat Stress</t>
        </is>
      </c>
      <c r="F29" s="7">
        <f>SUMIFS(reg_DailyMortality[MortalityCount],reg_DailyMortality[FlockID],$B29,reg_DailyMortality[Date],"&lt;="&amp;$C29)</f>
        <v/>
      </c>
      <c r="G29" s="2" t="inlineStr">
        <is>
          <t>C. Banda</t>
        </is>
      </c>
      <c r="H29" s="2" t="inlineStr">
        <is>
          <t>Yes</t>
        </is>
      </c>
    </row>
    <row r="30">
      <c r="A30" s="2" t="inlineStr">
        <is>
          <t>MORT-0029</t>
        </is>
      </c>
      <c r="B30" s="2" t="inlineStr">
        <is>
          <t>FLK-003</t>
        </is>
      </c>
      <c r="C30" s="6" t="n">
        <v>46242</v>
      </c>
      <c r="D30" s="7" t="n">
        <v>2</v>
      </c>
      <c r="E30" s="2" t="inlineStr">
        <is>
          <t>Disease</t>
        </is>
      </c>
      <c r="F30" s="7">
        <f>SUMIFS(reg_DailyMortality[MortalityCount],reg_DailyMortality[FlockID],$B30,reg_DailyMortality[Date],"&lt;="&amp;$C30)</f>
        <v/>
      </c>
      <c r="G30" s="2" t="inlineStr">
        <is>
          <t>C. Banda</t>
        </is>
      </c>
      <c r="H30" s="2" t="inlineStr">
        <is>
          <t>Yes</t>
        </is>
      </c>
    </row>
    <row r="31">
      <c r="A31" s="2" t="inlineStr">
        <is>
          <t>MORT-0030</t>
        </is>
      </c>
      <c r="B31" s="2" t="inlineStr">
        <is>
          <t>FLK-004</t>
        </is>
      </c>
      <c r="C31" s="6" t="n">
        <v>46235</v>
      </c>
      <c r="D31" s="7" t="n">
        <v>8</v>
      </c>
      <c r="E31" s="2" t="inlineStr">
        <is>
          <t>Normal Culling</t>
        </is>
      </c>
      <c r="F31" s="7">
        <f>SUMIFS(reg_DailyMortality[MortalityCount],reg_DailyMortality[FlockID],$B31,reg_DailyMortality[Date],"&lt;="&amp;$C31)</f>
        <v/>
      </c>
      <c r="G31" s="2" t="inlineStr">
        <is>
          <t>C. Banda</t>
        </is>
      </c>
      <c r="H31" s="2" t="inlineStr">
        <is>
          <t>Yes</t>
        </is>
      </c>
    </row>
    <row r="32">
      <c r="A32" s="2" t="inlineStr">
        <is>
          <t>MORT-0031</t>
        </is>
      </c>
      <c r="B32" s="2" t="inlineStr">
        <is>
          <t>FLK-004</t>
        </is>
      </c>
      <c r="C32" s="6" t="n">
        <v>46239</v>
      </c>
      <c r="D32" s="7" t="n">
        <v>7</v>
      </c>
      <c r="E32" s="2" t="inlineStr">
        <is>
          <t>Heat Stress</t>
        </is>
      </c>
      <c r="F32" s="7">
        <f>SUMIFS(reg_DailyMortality[MortalityCount],reg_DailyMortality[FlockID],$B32,reg_DailyMortality[Date],"&lt;="&amp;$C32)</f>
        <v/>
      </c>
      <c r="G32" s="2" t="inlineStr">
        <is>
          <t>B. Tembo</t>
        </is>
      </c>
      <c r="H32" s="2" t="inlineStr">
        <is>
          <t>Yes</t>
        </is>
      </c>
    </row>
  </sheetData>
  <dataValidations count="2">
    <dataValidation sqref="E2:E32" showDropDown="0" showInputMessage="0" showErrorMessage="0" allowBlank="0" type="list">
      <formula1>=List_MortalityCause</formula1>
    </dataValidation>
    <dataValidation sqref="B2:B82" showDropDown="0" showInputMessage="0" showErrorMessage="0" allowBlank="0" type="list">
      <formula1>=FlockID_List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548235"/>
    <outlinePr summaryBelow="1" summaryRight="1"/>
    <pageSetUpPr/>
  </sheetPr>
  <dimension ref="A1:I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0" customWidth="1" min="2" max="2"/>
    <col width="12" customWidth="1" min="3" max="3"/>
    <col width="10" customWidth="1" min="4" max="4"/>
    <col width="12" customWidth="1" min="5" max="5"/>
    <col width="14" customWidth="1" min="6" max="6"/>
    <col width="16" customWidth="1" min="7" max="7"/>
    <col width="14" customWidth="1" min="8" max="8"/>
    <col width="10" customWidth="1" min="9" max="9"/>
  </cols>
  <sheetData>
    <row r="1">
      <c r="A1" s="5" t="inlineStr">
        <is>
          <t>EntryID</t>
        </is>
      </c>
      <c r="B1" s="5" t="inlineStr">
        <is>
          <t>FlockID</t>
        </is>
      </c>
      <c r="C1" s="5" t="inlineStr">
        <is>
          <t>Date</t>
        </is>
      </c>
      <c r="D1" s="5" t="inlineStr">
        <is>
          <t>FeedID</t>
        </is>
      </c>
      <c r="E1" s="5" t="inlineStr">
        <is>
          <t>KgUsed</t>
        </is>
      </c>
      <c r="F1" s="5" t="inlineStr">
        <is>
          <t>CostZMW</t>
        </is>
      </c>
      <c r="G1" s="5" t="inlineStr">
        <is>
          <t>RunningTotalKg</t>
        </is>
      </c>
      <c r="H1" s="5" t="inlineStr">
        <is>
          <t>EnteredBy</t>
        </is>
      </c>
      <c r="I1" s="5" t="inlineStr">
        <is>
          <t>IsActive</t>
        </is>
      </c>
    </row>
    <row r="2">
      <c r="A2" s="2" t="inlineStr">
        <is>
          <t>FEED-0001</t>
        </is>
      </c>
      <c r="B2" s="2" t="inlineStr">
        <is>
          <t>FLK-001</t>
        </is>
      </c>
      <c r="C2" s="6" t="n">
        <v>46166</v>
      </c>
      <c r="D2" s="2" t="n">
        <v>1</v>
      </c>
      <c r="E2" s="8" t="n">
        <v>600</v>
      </c>
      <c r="F2" s="3">
        <f>ROUND($E2*INDEX(mst_FeedTypes[UnitCostPerKg_ZMW],MATCH($D2,mst_FeedTypes[FeedID],0)),2)</f>
        <v/>
      </c>
      <c r="G2" s="8">
        <f>SUMIFS(reg_FeedConsumption[KgUsed],reg_FeedConsumption[FlockID],$B2,reg_FeedConsumption[Date],"&lt;="&amp;$C2)</f>
        <v/>
      </c>
      <c r="H2" s="2" t="inlineStr">
        <is>
          <t>B. Tembo</t>
        </is>
      </c>
      <c r="I2" s="2" t="inlineStr">
        <is>
          <t>Yes</t>
        </is>
      </c>
    </row>
    <row r="3">
      <c r="A3" s="2" t="inlineStr">
        <is>
          <t>FEED-0002</t>
        </is>
      </c>
      <c r="B3" s="2" t="inlineStr">
        <is>
          <t>FLK-001</t>
        </is>
      </c>
      <c r="C3" s="6" t="n">
        <v>46170</v>
      </c>
      <c r="D3" s="2" t="n">
        <v>1</v>
      </c>
      <c r="E3" s="8" t="n">
        <v>800</v>
      </c>
      <c r="F3" s="3">
        <f>ROUND($E3*INDEX(mst_FeedTypes[UnitCostPerKg_ZMW],MATCH($D3,mst_FeedTypes[FeedID],0)),2)</f>
        <v/>
      </c>
      <c r="G3" s="8">
        <f>SUMIFS(reg_FeedConsumption[KgUsed],reg_FeedConsumption[FlockID],$B3,reg_FeedConsumption[Date],"&lt;="&amp;$C3)</f>
        <v/>
      </c>
      <c r="H3" s="2" t="inlineStr">
        <is>
          <t>C. Banda</t>
        </is>
      </c>
      <c r="I3" s="2" t="inlineStr">
        <is>
          <t>Yes</t>
        </is>
      </c>
    </row>
    <row r="4">
      <c r="A4" s="2" t="inlineStr">
        <is>
          <t>FEED-0003</t>
        </is>
      </c>
      <c r="B4" s="2" t="inlineStr">
        <is>
          <t>FLK-001</t>
        </is>
      </c>
      <c r="C4" s="6" t="n">
        <v>46174</v>
      </c>
      <c r="D4" s="2" t="n">
        <v>2</v>
      </c>
      <c r="E4" s="8" t="n">
        <v>1000</v>
      </c>
      <c r="F4" s="3">
        <f>ROUND($E4*INDEX(mst_FeedTypes[UnitCostPerKg_ZMW],MATCH($D4,mst_FeedTypes[FeedID],0)),2)</f>
        <v/>
      </c>
      <c r="G4" s="8">
        <f>SUMIFS(reg_FeedConsumption[KgUsed],reg_FeedConsumption[FlockID],$B4,reg_FeedConsumption[Date],"&lt;="&amp;$C4)</f>
        <v/>
      </c>
      <c r="H4" s="2" t="inlineStr">
        <is>
          <t>C. Banda</t>
        </is>
      </c>
      <c r="I4" s="2" t="inlineStr">
        <is>
          <t>Yes</t>
        </is>
      </c>
    </row>
    <row r="5">
      <c r="A5" s="2" t="inlineStr">
        <is>
          <t>FEED-0004</t>
        </is>
      </c>
      <c r="B5" s="2" t="inlineStr">
        <is>
          <t>FLK-001</t>
        </is>
      </c>
      <c r="C5" s="6" t="n">
        <v>46178</v>
      </c>
      <c r="D5" s="2" t="n">
        <v>2</v>
      </c>
      <c r="E5" s="8" t="n">
        <v>1200</v>
      </c>
      <c r="F5" s="3">
        <f>ROUND($E5*INDEX(mst_FeedTypes[UnitCostPerKg_ZMW],MATCH($D5,mst_FeedTypes[FeedID],0)),2)</f>
        <v/>
      </c>
      <c r="G5" s="8">
        <f>SUMIFS(reg_FeedConsumption[KgUsed],reg_FeedConsumption[FlockID],$B5,reg_FeedConsumption[Date],"&lt;="&amp;$C5)</f>
        <v/>
      </c>
      <c r="H5" s="2" t="inlineStr">
        <is>
          <t>B. Tembo</t>
        </is>
      </c>
      <c r="I5" s="2" t="inlineStr">
        <is>
          <t>Yes</t>
        </is>
      </c>
    </row>
    <row r="6">
      <c r="A6" s="2" t="inlineStr">
        <is>
          <t>FEED-0005</t>
        </is>
      </c>
      <c r="B6" s="2" t="inlineStr">
        <is>
          <t>FLK-001</t>
        </is>
      </c>
      <c r="C6" s="6" t="n">
        <v>46182</v>
      </c>
      <c r="D6" s="2" t="n">
        <v>2</v>
      </c>
      <c r="E6" s="8" t="n">
        <v>1400</v>
      </c>
      <c r="F6" s="3">
        <f>ROUND($E6*INDEX(mst_FeedTypes[UnitCostPerKg_ZMW],MATCH($D6,mst_FeedTypes[FeedID],0)),2)</f>
        <v/>
      </c>
      <c r="G6" s="8">
        <f>SUMIFS(reg_FeedConsumption[KgUsed],reg_FeedConsumption[FlockID],$B6,reg_FeedConsumption[Date],"&lt;="&amp;$C6)</f>
        <v/>
      </c>
      <c r="H6" s="2" t="inlineStr">
        <is>
          <t>C. Banda</t>
        </is>
      </c>
      <c r="I6" s="2" t="inlineStr">
        <is>
          <t>Yes</t>
        </is>
      </c>
    </row>
    <row r="7">
      <c r="A7" s="2" t="inlineStr">
        <is>
          <t>FEED-0006</t>
        </is>
      </c>
      <c r="B7" s="2" t="inlineStr">
        <is>
          <t>FLK-001</t>
        </is>
      </c>
      <c r="C7" s="6" t="n">
        <v>46186</v>
      </c>
      <c r="D7" s="2" t="n">
        <v>2</v>
      </c>
      <c r="E7" s="8" t="n">
        <v>1600</v>
      </c>
      <c r="F7" s="3">
        <f>ROUND($E7*INDEX(mst_FeedTypes[UnitCostPerKg_ZMW],MATCH($D7,mst_FeedTypes[FeedID],0)),2)</f>
        <v/>
      </c>
      <c r="G7" s="8">
        <f>SUMIFS(reg_FeedConsumption[KgUsed],reg_FeedConsumption[FlockID],$B7,reg_FeedConsumption[Date],"&lt;="&amp;$C7)</f>
        <v/>
      </c>
      <c r="H7" s="2" t="inlineStr">
        <is>
          <t>C. Banda</t>
        </is>
      </c>
      <c r="I7" s="2" t="inlineStr">
        <is>
          <t>Yes</t>
        </is>
      </c>
    </row>
    <row r="8">
      <c r="A8" s="2" t="inlineStr">
        <is>
          <t>FEED-0007</t>
        </is>
      </c>
      <c r="B8" s="2" t="inlineStr">
        <is>
          <t>FLK-001</t>
        </is>
      </c>
      <c r="C8" s="6" t="n">
        <v>46190</v>
      </c>
      <c r="D8" s="2" t="n">
        <v>3</v>
      </c>
      <c r="E8" s="8" t="n">
        <v>1800</v>
      </c>
      <c r="F8" s="3">
        <f>ROUND($E8*INDEX(mst_FeedTypes[UnitCostPerKg_ZMW],MATCH($D8,mst_FeedTypes[FeedID],0)),2)</f>
        <v/>
      </c>
      <c r="G8" s="8">
        <f>SUMIFS(reg_FeedConsumption[KgUsed],reg_FeedConsumption[FlockID],$B8,reg_FeedConsumption[Date],"&lt;="&amp;$C8)</f>
        <v/>
      </c>
      <c r="H8" s="2" t="inlineStr">
        <is>
          <t>B. Tembo</t>
        </is>
      </c>
      <c r="I8" s="2" t="inlineStr">
        <is>
          <t>Yes</t>
        </is>
      </c>
    </row>
    <row r="9">
      <c r="A9" s="2" t="inlineStr">
        <is>
          <t>FEED-0008</t>
        </is>
      </c>
      <c r="B9" s="2" t="inlineStr">
        <is>
          <t>FLK-001</t>
        </is>
      </c>
      <c r="C9" s="6" t="n">
        <v>46194</v>
      </c>
      <c r="D9" s="2" t="n">
        <v>3</v>
      </c>
      <c r="E9" s="8" t="n">
        <v>2000</v>
      </c>
      <c r="F9" s="3">
        <f>ROUND($E9*INDEX(mst_FeedTypes[UnitCostPerKg_ZMW],MATCH($D9,mst_FeedTypes[FeedID],0)),2)</f>
        <v/>
      </c>
      <c r="G9" s="8">
        <f>SUMIFS(reg_FeedConsumption[KgUsed],reg_FeedConsumption[FlockID],$B9,reg_FeedConsumption[Date],"&lt;="&amp;$C9)</f>
        <v/>
      </c>
      <c r="H9" s="2" t="inlineStr">
        <is>
          <t>C. Banda</t>
        </is>
      </c>
      <c r="I9" s="2" t="inlineStr">
        <is>
          <t>Yes</t>
        </is>
      </c>
    </row>
    <row r="10">
      <c r="A10" s="2" t="inlineStr">
        <is>
          <t>FEED-0009</t>
        </is>
      </c>
      <c r="B10" s="2" t="inlineStr">
        <is>
          <t>FLK-001</t>
        </is>
      </c>
      <c r="C10" s="6" t="n">
        <v>46198</v>
      </c>
      <c r="D10" s="2" t="n">
        <v>3</v>
      </c>
      <c r="E10" s="8" t="n">
        <v>2200</v>
      </c>
      <c r="F10" s="3">
        <f>ROUND($E10*INDEX(mst_FeedTypes[UnitCostPerKg_ZMW],MATCH($D10,mst_FeedTypes[FeedID],0)),2)</f>
        <v/>
      </c>
      <c r="G10" s="8">
        <f>SUMIFS(reg_FeedConsumption[KgUsed],reg_FeedConsumption[FlockID],$B10,reg_FeedConsumption[Date],"&lt;="&amp;$C10)</f>
        <v/>
      </c>
      <c r="H10" s="2" t="inlineStr">
        <is>
          <t>C. Banda</t>
        </is>
      </c>
      <c r="I10" s="2" t="inlineStr">
        <is>
          <t>Yes</t>
        </is>
      </c>
    </row>
    <row r="11">
      <c r="A11" s="2" t="inlineStr">
        <is>
          <t>FEED-0010</t>
        </is>
      </c>
      <c r="B11" s="2" t="inlineStr">
        <is>
          <t>FLK-001</t>
        </is>
      </c>
      <c r="C11" s="6" t="n">
        <v>46202</v>
      </c>
      <c r="D11" s="2" t="n">
        <v>3</v>
      </c>
      <c r="E11" s="8" t="n">
        <v>2400</v>
      </c>
      <c r="F11" s="3">
        <f>ROUND($E11*INDEX(mst_FeedTypes[UnitCostPerKg_ZMW],MATCH($D11,mst_FeedTypes[FeedID],0)),2)</f>
        <v/>
      </c>
      <c r="G11" s="8">
        <f>SUMIFS(reg_FeedConsumption[KgUsed],reg_FeedConsumption[FlockID],$B11,reg_FeedConsumption[Date],"&lt;="&amp;$C11)</f>
        <v/>
      </c>
      <c r="H11" s="2" t="inlineStr">
        <is>
          <t>B. Tembo</t>
        </is>
      </c>
      <c r="I11" s="2" t="inlineStr">
        <is>
          <t>Yes</t>
        </is>
      </c>
    </row>
    <row r="12">
      <c r="A12" s="2" t="inlineStr">
        <is>
          <t>FEED-0011</t>
        </is>
      </c>
      <c r="B12" s="2" t="inlineStr">
        <is>
          <t>FLK-002</t>
        </is>
      </c>
      <c r="C12" s="6" t="n">
        <v>46202</v>
      </c>
      <c r="D12" s="2" t="n">
        <v>1</v>
      </c>
      <c r="E12" s="8" t="n">
        <v>720</v>
      </c>
      <c r="F12" s="3">
        <f>ROUND($E12*INDEX(mst_FeedTypes[UnitCostPerKg_ZMW],MATCH($D12,mst_FeedTypes[FeedID],0)),2)</f>
        <v/>
      </c>
      <c r="G12" s="8">
        <f>SUMIFS(reg_FeedConsumption[KgUsed],reg_FeedConsumption[FlockID],$B12,reg_FeedConsumption[Date],"&lt;="&amp;$C12)</f>
        <v/>
      </c>
      <c r="H12" s="2" t="inlineStr">
        <is>
          <t>B. Tembo</t>
        </is>
      </c>
      <c r="I12" s="2" t="inlineStr">
        <is>
          <t>Yes</t>
        </is>
      </c>
    </row>
    <row r="13">
      <c r="A13" s="2" t="inlineStr">
        <is>
          <t>FEED-0012</t>
        </is>
      </c>
      <c r="B13" s="2" t="inlineStr">
        <is>
          <t>FLK-002</t>
        </is>
      </c>
      <c r="C13" s="6" t="n">
        <v>46206</v>
      </c>
      <c r="D13" s="2" t="n">
        <v>1</v>
      </c>
      <c r="E13" s="8" t="n">
        <v>960</v>
      </c>
      <c r="F13" s="3">
        <f>ROUND($E13*INDEX(mst_FeedTypes[UnitCostPerKg_ZMW],MATCH($D13,mst_FeedTypes[FeedID],0)),2)</f>
        <v/>
      </c>
      <c r="G13" s="8">
        <f>SUMIFS(reg_FeedConsumption[KgUsed],reg_FeedConsumption[FlockID],$B13,reg_FeedConsumption[Date],"&lt;="&amp;$C13)</f>
        <v/>
      </c>
      <c r="H13" s="2" t="inlineStr">
        <is>
          <t>C. Banda</t>
        </is>
      </c>
      <c r="I13" s="2" t="inlineStr">
        <is>
          <t>Yes</t>
        </is>
      </c>
    </row>
    <row r="14">
      <c r="A14" s="2" t="inlineStr">
        <is>
          <t>FEED-0013</t>
        </is>
      </c>
      <c r="B14" s="2" t="inlineStr">
        <is>
          <t>FLK-002</t>
        </is>
      </c>
      <c r="C14" s="6" t="n">
        <v>46210</v>
      </c>
      <c r="D14" s="2" t="n">
        <v>2</v>
      </c>
      <c r="E14" s="8" t="n">
        <v>1200</v>
      </c>
      <c r="F14" s="3">
        <f>ROUND($E14*INDEX(mst_FeedTypes[UnitCostPerKg_ZMW],MATCH($D14,mst_FeedTypes[FeedID],0)),2)</f>
        <v/>
      </c>
      <c r="G14" s="8">
        <f>SUMIFS(reg_FeedConsumption[KgUsed],reg_FeedConsumption[FlockID],$B14,reg_FeedConsumption[Date],"&lt;="&amp;$C14)</f>
        <v/>
      </c>
      <c r="H14" s="2" t="inlineStr">
        <is>
          <t>C. Banda</t>
        </is>
      </c>
      <c r="I14" s="2" t="inlineStr">
        <is>
          <t>Yes</t>
        </is>
      </c>
    </row>
    <row r="15">
      <c r="A15" s="2" t="inlineStr">
        <is>
          <t>FEED-0014</t>
        </is>
      </c>
      <c r="B15" s="2" t="inlineStr">
        <is>
          <t>FLK-002</t>
        </is>
      </c>
      <c r="C15" s="6" t="n">
        <v>46214</v>
      </c>
      <c r="D15" s="2" t="n">
        <v>2</v>
      </c>
      <c r="E15" s="8" t="n">
        <v>1440</v>
      </c>
      <c r="F15" s="3">
        <f>ROUND($E15*INDEX(mst_FeedTypes[UnitCostPerKg_ZMW],MATCH($D15,mst_FeedTypes[FeedID],0)),2)</f>
        <v/>
      </c>
      <c r="G15" s="8">
        <f>SUMIFS(reg_FeedConsumption[KgUsed],reg_FeedConsumption[FlockID],$B15,reg_FeedConsumption[Date],"&lt;="&amp;$C15)</f>
        <v/>
      </c>
      <c r="H15" s="2" t="inlineStr">
        <is>
          <t>B. Tembo</t>
        </is>
      </c>
      <c r="I15" s="2" t="inlineStr">
        <is>
          <t>Yes</t>
        </is>
      </c>
    </row>
    <row r="16">
      <c r="A16" s="2" t="inlineStr">
        <is>
          <t>FEED-0015</t>
        </is>
      </c>
      <c r="B16" s="2" t="inlineStr">
        <is>
          <t>FLK-002</t>
        </is>
      </c>
      <c r="C16" s="6" t="n">
        <v>46218</v>
      </c>
      <c r="D16" s="2" t="n">
        <v>2</v>
      </c>
      <c r="E16" s="8" t="n">
        <v>1680</v>
      </c>
      <c r="F16" s="3">
        <f>ROUND($E16*INDEX(mst_FeedTypes[UnitCostPerKg_ZMW],MATCH($D16,mst_FeedTypes[FeedID],0)),2)</f>
        <v/>
      </c>
      <c r="G16" s="8">
        <f>SUMIFS(reg_FeedConsumption[KgUsed],reg_FeedConsumption[FlockID],$B16,reg_FeedConsumption[Date],"&lt;="&amp;$C16)</f>
        <v/>
      </c>
      <c r="H16" s="2" t="inlineStr">
        <is>
          <t>C. Banda</t>
        </is>
      </c>
      <c r="I16" s="2" t="inlineStr">
        <is>
          <t>Yes</t>
        </is>
      </c>
    </row>
    <row r="17">
      <c r="A17" s="2" t="inlineStr">
        <is>
          <t>FEED-0016</t>
        </is>
      </c>
      <c r="B17" s="2" t="inlineStr">
        <is>
          <t>FLK-002</t>
        </is>
      </c>
      <c r="C17" s="6" t="n">
        <v>46222</v>
      </c>
      <c r="D17" s="2" t="n">
        <v>2</v>
      </c>
      <c r="E17" s="8" t="n">
        <v>1920</v>
      </c>
      <c r="F17" s="3">
        <f>ROUND($E17*INDEX(mst_FeedTypes[UnitCostPerKg_ZMW],MATCH($D17,mst_FeedTypes[FeedID],0)),2)</f>
        <v/>
      </c>
      <c r="G17" s="8">
        <f>SUMIFS(reg_FeedConsumption[KgUsed],reg_FeedConsumption[FlockID],$B17,reg_FeedConsumption[Date],"&lt;="&amp;$C17)</f>
        <v/>
      </c>
      <c r="H17" s="2" t="inlineStr">
        <is>
          <t>C. Banda</t>
        </is>
      </c>
      <c r="I17" s="2" t="inlineStr">
        <is>
          <t>Yes</t>
        </is>
      </c>
    </row>
    <row r="18">
      <c r="A18" s="2" t="inlineStr">
        <is>
          <t>FEED-0017</t>
        </is>
      </c>
      <c r="B18" s="2" t="inlineStr">
        <is>
          <t>FLK-002</t>
        </is>
      </c>
      <c r="C18" s="6" t="n">
        <v>46226</v>
      </c>
      <c r="D18" s="2" t="n">
        <v>3</v>
      </c>
      <c r="E18" s="8" t="n">
        <v>2160</v>
      </c>
      <c r="F18" s="3">
        <f>ROUND($E18*INDEX(mst_FeedTypes[UnitCostPerKg_ZMW],MATCH($D18,mst_FeedTypes[FeedID],0)),2)</f>
        <v/>
      </c>
      <c r="G18" s="8">
        <f>SUMIFS(reg_FeedConsumption[KgUsed],reg_FeedConsumption[FlockID],$B18,reg_FeedConsumption[Date],"&lt;="&amp;$C18)</f>
        <v/>
      </c>
      <c r="H18" s="2" t="inlineStr">
        <is>
          <t>B. Tembo</t>
        </is>
      </c>
      <c r="I18" s="2" t="inlineStr">
        <is>
          <t>Yes</t>
        </is>
      </c>
    </row>
    <row r="19">
      <c r="A19" s="2" t="inlineStr">
        <is>
          <t>FEED-0018</t>
        </is>
      </c>
      <c r="B19" s="2" t="inlineStr">
        <is>
          <t>FLK-002</t>
        </is>
      </c>
      <c r="C19" s="6" t="n">
        <v>46230</v>
      </c>
      <c r="D19" s="2" t="n">
        <v>3</v>
      </c>
      <c r="E19" s="8" t="n">
        <v>2400</v>
      </c>
      <c r="F19" s="3">
        <f>ROUND($E19*INDEX(mst_FeedTypes[UnitCostPerKg_ZMW],MATCH($D19,mst_FeedTypes[FeedID],0)),2)</f>
        <v/>
      </c>
      <c r="G19" s="8">
        <f>SUMIFS(reg_FeedConsumption[KgUsed],reg_FeedConsumption[FlockID],$B19,reg_FeedConsumption[Date],"&lt;="&amp;$C19)</f>
        <v/>
      </c>
      <c r="H19" s="2" t="inlineStr">
        <is>
          <t>C. Banda</t>
        </is>
      </c>
      <c r="I19" s="2" t="inlineStr">
        <is>
          <t>Yes</t>
        </is>
      </c>
    </row>
    <row r="20">
      <c r="A20" s="2" t="inlineStr">
        <is>
          <t>FEED-0019</t>
        </is>
      </c>
      <c r="B20" s="2" t="inlineStr">
        <is>
          <t>FLK-002</t>
        </is>
      </c>
      <c r="C20" s="6" t="n">
        <v>46234</v>
      </c>
      <c r="D20" s="2" t="n">
        <v>3</v>
      </c>
      <c r="E20" s="8" t="n">
        <v>2640</v>
      </c>
      <c r="F20" s="3">
        <f>ROUND($E20*INDEX(mst_FeedTypes[UnitCostPerKg_ZMW],MATCH($D20,mst_FeedTypes[FeedID],0)),2)</f>
        <v/>
      </c>
      <c r="G20" s="8">
        <f>SUMIFS(reg_FeedConsumption[KgUsed],reg_FeedConsumption[FlockID],$B20,reg_FeedConsumption[Date],"&lt;="&amp;$C20)</f>
        <v/>
      </c>
      <c r="H20" s="2" t="inlineStr">
        <is>
          <t>C. Banda</t>
        </is>
      </c>
      <c r="I20" s="2" t="inlineStr">
        <is>
          <t>Yes</t>
        </is>
      </c>
    </row>
    <row r="21">
      <c r="A21" s="2" t="inlineStr">
        <is>
          <t>FEED-0020</t>
        </is>
      </c>
      <c r="B21" s="2" t="inlineStr">
        <is>
          <t>FLK-002</t>
        </is>
      </c>
      <c r="C21" s="6" t="n">
        <v>46238</v>
      </c>
      <c r="D21" s="2" t="n">
        <v>3</v>
      </c>
      <c r="E21" s="8" t="n">
        <v>2880</v>
      </c>
      <c r="F21" s="3">
        <f>ROUND($E21*INDEX(mst_FeedTypes[UnitCostPerKg_ZMW],MATCH($D21,mst_FeedTypes[FeedID],0)),2)</f>
        <v/>
      </c>
      <c r="G21" s="8">
        <f>SUMIFS(reg_FeedConsumption[KgUsed],reg_FeedConsumption[FlockID],$B21,reg_FeedConsumption[Date],"&lt;="&amp;$C21)</f>
        <v/>
      </c>
      <c r="H21" s="2" t="inlineStr">
        <is>
          <t>B. Tembo</t>
        </is>
      </c>
      <c r="I21" s="2" t="inlineStr">
        <is>
          <t>Yes</t>
        </is>
      </c>
    </row>
    <row r="22">
      <c r="A22" s="2" t="inlineStr">
        <is>
          <t>FEED-0021</t>
        </is>
      </c>
      <c r="B22" s="2" t="inlineStr">
        <is>
          <t>FLK-003</t>
        </is>
      </c>
      <c r="C22" s="6" t="n">
        <v>46222</v>
      </c>
      <c r="D22" s="2" t="n">
        <v>1</v>
      </c>
      <c r="E22" s="8" t="n">
        <v>408</v>
      </c>
      <c r="F22" s="3">
        <f>ROUND($E22*INDEX(mst_FeedTypes[UnitCostPerKg_ZMW],MATCH($D22,mst_FeedTypes[FeedID],0)),2)</f>
        <v/>
      </c>
      <c r="G22" s="8">
        <f>SUMIFS(reg_FeedConsumption[KgUsed],reg_FeedConsumption[FlockID],$B22,reg_FeedConsumption[Date],"&lt;="&amp;$C22)</f>
        <v/>
      </c>
      <c r="H22" s="2" t="inlineStr">
        <is>
          <t>B. Tembo</t>
        </is>
      </c>
      <c r="I22" s="2" t="inlineStr">
        <is>
          <t>Yes</t>
        </is>
      </c>
    </row>
    <row r="23">
      <c r="A23" s="2" t="inlineStr">
        <is>
          <t>FEED-0022</t>
        </is>
      </c>
      <c r="B23" s="2" t="inlineStr">
        <is>
          <t>FLK-003</t>
        </is>
      </c>
      <c r="C23" s="6" t="n">
        <v>46226</v>
      </c>
      <c r="D23" s="2" t="n">
        <v>1</v>
      </c>
      <c r="E23" s="8" t="n">
        <v>544</v>
      </c>
      <c r="F23" s="3">
        <f>ROUND($E23*INDEX(mst_FeedTypes[UnitCostPerKg_ZMW],MATCH($D23,mst_FeedTypes[FeedID],0)),2)</f>
        <v/>
      </c>
      <c r="G23" s="8">
        <f>SUMIFS(reg_FeedConsumption[KgUsed],reg_FeedConsumption[FlockID],$B23,reg_FeedConsumption[Date],"&lt;="&amp;$C23)</f>
        <v/>
      </c>
      <c r="H23" s="2" t="inlineStr">
        <is>
          <t>C. Banda</t>
        </is>
      </c>
      <c r="I23" s="2" t="inlineStr">
        <is>
          <t>Yes</t>
        </is>
      </c>
    </row>
    <row r="24">
      <c r="A24" s="2" t="inlineStr">
        <is>
          <t>FEED-0023</t>
        </is>
      </c>
      <c r="B24" s="2" t="inlineStr">
        <is>
          <t>FLK-003</t>
        </is>
      </c>
      <c r="C24" s="6" t="n">
        <v>46230</v>
      </c>
      <c r="D24" s="2" t="n">
        <v>2</v>
      </c>
      <c r="E24" s="8" t="n">
        <v>680</v>
      </c>
      <c r="F24" s="3">
        <f>ROUND($E24*INDEX(mst_FeedTypes[UnitCostPerKg_ZMW],MATCH($D24,mst_FeedTypes[FeedID],0)),2)</f>
        <v/>
      </c>
      <c r="G24" s="8">
        <f>SUMIFS(reg_FeedConsumption[KgUsed],reg_FeedConsumption[FlockID],$B24,reg_FeedConsumption[Date],"&lt;="&amp;$C24)</f>
        <v/>
      </c>
      <c r="H24" s="2" t="inlineStr">
        <is>
          <t>C. Banda</t>
        </is>
      </c>
      <c r="I24" s="2" t="inlineStr">
        <is>
          <t>Yes</t>
        </is>
      </c>
    </row>
    <row r="25">
      <c r="A25" s="2" t="inlineStr">
        <is>
          <t>FEED-0024</t>
        </is>
      </c>
      <c r="B25" s="2" t="inlineStr">
        <is>
          <t>FLK-003</t>
        </is>
      </c>
      <c r="C25" s="6" t="n">
        <v>46234</v>
      </c>
      <c r="D25" s="2" t="n">
        <v>2</v>
      </c>
      <c r="E25" s="8" t="n">
        <v>816</v>
      </c>
      <c r="F25" s="3">
        <f>ROUND($E25*INDEX(mst_FeedTypes[UnitCostPerKg_ZMW],MATCH($D25,mst_FeedTypes[FeedID],0)),2)</f>
        <v/>
      </c>
      <c r="G25" s="8">
        <f>SUMIFS(reg_FeedConsumption[KgUsed],reg_FeedConsumption[FlockID],$B25,reg_FeedConsumption[Date],"&lt;="&amp;$C25)</f>
        <v/>
      </c>
      <c r="H25" s="2" t="inlineStr">
        <is>
          <t>B. Tembo</t>
        </is>
      </c>
      <c r="I25" s="2" t="inlineStr">
        <is>
          <t>Yes</t>
        </is>
      </c>
    </row>
    <row r="26">
      <c r="A26" s="2" t="inlineStr">
        <is>
          <t>FEED-0025</t>
        </is>
      </c>
      <c r="B26" s="2" t="inlineStr">
        <is>
          <t>FLK-003</t>
        </is>
      </c>
      <c r="C26" s="6" t="n">
        <v>46238</v>
      </c>
      <c r="D26" s="2" t="n">
        <v>2</v>
      </c>
      <c r="E26" s="8" t="n">
        <v>952</v>
      </c>
      <c r="F26" s="3">
        <f>ROUND($E26*INDEX(mst_FeedTypes[UnitCostPerKg_ZMW],MATCH($D26,mst_FeedTypes[FeedID],0)),2)</f>
        <v/>
      </c>
      <c r="G26" s="8">
        <f>SUMIFS(reg_FeedConsumption[KgUsed],reg_FeedConsumption[FlockID],$B26,reg_FeedConsumption[Date],"&lt;="&amp;$C26)</f>
        <v/>
      </c>
      <c r="H26" s="2" t="inlineStr">
        <is>
          <t>C. Banda</t>
        </is>
      </c>
      <c r="I26" s="2" t="inlineStr">
        <is>
          <t>Yes</t>
        </is>
      </c>
    </row>
    <row r="27">
      <c r="A27" s="2" t="inlineStr">
        <is>
          <t>FEED-0026</t>
        </is>
      </c>
      <c r="B27" s="2" t="inlineStr">
        <is>
          <t>FLK-003</t>
        </is>
      </c>
      <c r="C27" s="6" t="n">
        <v>46242</v>
      </c>
      <c r="D27" s="2" t="n">
        <v>2</v>
      </c>
      <c r="E27" s="8" t="n">
        <v>1088</v>
      </c>
      <c r="F27" s="3">
        <f>ROUND($E27*INDEX(mst_FeedTypes[UnitCostPerKg_ZMW],MATCH($D27,mst_FeedTypes[FeedID],0)),2)</f>
        <v/>
      </c>
      <c r="G27" s="8">
        <f>SUMIFS(reg_FeedConsumption[KgUsed],reg_FeedConsumption[FlockID],$B27,reg_FeedConsumption[Date],"&lt;="&amp;$C27)</f>
        <v/>
      </c>
      <c r="H27" s="2" t="inlineStr">
        <is>
          <t>C. Banda</t>
        </is>
      </c>
      <c r="I27" s="2" t="inlineStr">
        <is>
          <t>Yes</t>
        </is>
      </c>
    </row>
    <row r="28">
      <c r="A28" s="2" t="inlineStr">
        <is>
          <t>FEED-0027</t>
        </is>
      </c>
      <c r="B28" s="2" t="inlineStr">
        <is>
          <t>FLK-004</t>
        </is>
      </c>
      <c r="C28" s="6" t="n">
        <v>46239</v>
      </c>
      <c r="D28" s="2" t="n">
        <v>1</v>
      </c>
      <c r="E28" s="8" t="n">
        <v>630</v>
      </c>
      <c r="F28" s="3">
        <f>ROUND($E28*INDEX(mst_FeedTypes[UnitCostPerKg_ZMW],MATCH($D28,mst_FeedTypes[FeedID],0)),2)</f>
        <v/>
      </c>
      <c r="G28" s="8">
        <f>SUMIFS(reg_FeedConsumption[KgUsed],reg_FeedConsumption[FlockID],$B28,reg_FeedConsumption[Date],"&lt;="&amp;$C28)</f>
        <v/>
      </c>
      <c r="H28" s="2" t="inlineStr">
        <is>
          <t>B. Tembo</t>
        </is>
      </c>
      <c r="I28" s="2" t="inlineStr">
        <is>
          <t>Yes</t>
        </is>
      </c>
    </row>
  </sheetData>
  <dataValidations count="2">
    <dataValidation sqref="D2:D78" showDropDown="0" showInputMessage="0" showErrorMessage="0" allowBlank="0" type="list">
      <formula1>=FeedID_List</formula1>
    </dataValidation>
    <dataValidation sqref="B2:B78" showDropDown="0" showInputMessage="0" showErrorMessage="0" allowBlank="0" type="list">
      <formula1>=FlockID_List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548235"/>
    <outlinePr summaryBelow="1" summaryRight="1"/>
    <pageSetUpPr/>
  </sheetPr>
  <dimension ref="A1:J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0" customWidth="1" min="2" max="2"/>
    <col width="12" customWidth="1" min="3" max="3"/>
    <col width="10" customWidth="1" min="4" max="4"/>
    <col width="12" customWidth="1" min="5" max="5"/>
    <col width="16" customWidth="1" min="6" max="6"/>
    <col width="10" customWidth="1" min="7" max="7"/>
    <col width="10" customWidth="1" min="8" max="8"/>
    <col width="14" customWidth="1" min="9" max="9"/>
    <col width="10" customWidth="1" min="10" max="10"/>
  </cols>
  <sheetData>
    <row r="1">
      <c r="A1" s="5" t="inlineStr">
        <is>
          <t>EntryID</t>
        </is>
      </c>
      <c r="B1" s="5" t="inlineStr">
        <is>
          <t>FlockID</t>
        </is>
      </c>
      <c r="C1" s="5" t="inlineStr">
        <is>
          <t>Date</t>
        </is>
      </c>
      <c r="D1" s="5" t="inlineStr">
        <is>
          <t>WeekNo</t>
        </is>
      </c>
      <c r="E1" s="5" t="inlineStr">
        <is>
          <t>SampleSize</t>
        </is>
      </c>
      <c r="F1" s="5" t="inlineStr">
        <is>
          <t>AvgBodyWeightG</t>
        </is>
      </c>
      <c r="G1" s="5" t="inlineStr">
        <is>
          <t>AgeDays</t>
        </is>
      </c>
      <c r="H1" s="5" t="inlineStr">
        <is>
          <t>ADG_g</t>
        </is>
      </c>
      <c r="I1" s="5" t="inlineStr">
        <is>
          <t>EnteredBy</t>
        </is>
      </c>
      <c r="J1" s="5" t="inlineStr">
        <is>
          <t>IsActive</t>
        </is>
      </c>
    </row>
    <row r="2">
      <c r="A2" s="2" t="inlineStr">
        <is>
          <t>WGT-0001</t>
        </is>
      </c>
      <c r="B2" s="2" t="inlineStr">
        <is>
          <t>FLK-001</t>
        </is>
      </c>
      <c r="C2" s="6" t="n">
        <v>46169</v>
      </c>
      <c r="D2" s="2" t="n">
        <v>1</v>
      </c>
      <c r="E2" s="2" t="n">
        <v>50</v>
      </c>
      <c r="F2" s="7" t="n">
        <v>180</v>
      </c>
      <c r="G2" s="7">
        <f>$C2-INDEX(reg_Flocks[PlacedDate],MATCH($B2,reg_Flocks[FlockID],0))</f>
        <v/>
      </c>
      <c r="H2" s="8">
        <f>IFERROR($F2/$G2,0)</f>
        <v/>
      </c>
      <c r="I2" s="2" t="inlineStr">
        <is>
          <t>B. Tembo</t>
        </is>
      </c>
      <c r="J2" s="2" t="inlineStr">
        <is>
          <t>Yes</t>
        </is>
      </c>
    </row>
    <row r="3">
      <c r="A3" s="2" t="inlineStr">
        <is>
          <t>WGT-0002</t>
        </is>
      </c>
      <c r="B3" s="2" t="inlineStr">
        <is>
          <t>FLK-001</t>
        </is>
      </c>
      <c r="C3" s="6" t="n">
        <v>46176</v>
      </c>
      <c r="D3" s="2" t="n">
        <v>2</v>
      </c>
      <c r="E3" s="2" t="n">
        <v>50</v>
      </c>
      <c r="F3" s="7" t="n">
        <v>430</v>
      </c>
      <c r="G3" s="7">
        <f>$C3-INDEX(reg_Flocks[PlacedDate],MATCH($B3,reg_Flocks[FlockID],0))</f>
        <v/>
      </c>
      <c r="H3" s="8">
        <f>IFERROR($F3/$G3,0)</f>
        <v/>
      </c>
      <c r="I3" s="2" t="inlineStr">
        <is>
          <t>C. Banda</t>
        </is>
      </c>
      <c r="J3" s="2" t="inlineStr">
        <is>
          <t>Yes</t>
        </is>
      </c>
    </row>
    <row r="4">
      <c r="A4" s="2" t="inlineStr">
        <is>
          <t>WGT-0003</t>
        </is>
      </c>
      <c r="B4" s="2" t="inlineStr">
        <is>
          <t>FLK-001</t>
        </is>
      </c>
      <c r="C4" s="6" t="n">
        <v>46183</v>
      </c>
      <c r="D4" s="2" t="n">
        <v>3</v>
      </c>
      <c r="E4" s="2" t="n">
        <v>50</v>
      </c>
      <c r="F4" s="7" t="n">
        <v>800</v>
      </c>
      <c r="G4" s="7">
        <f>$C4-INDEX(reg_Flocks[PlacedDate],MATCH($B4,reg_Flocks[FlockID],0))</f>
        <v/>
      </c>
      <c r="H4" s="8">
        <f>IFERROR($F4/$G4,0)</f>
        <v/>
      </c>
      <c r="I4" s="2" t="inlineStr">
        <is>
          <t>C. Banda</t>
        </is>
      </c>
      <c r="J4" s="2" t="inlineStr">
        <is>
          <t>Yes</t>
        </is>
      </c>
    </row>
    <row r="5">
      <c r="A5" s="2" t="inlineStr">
        <is>
          <t>WGT-0004</t>
        </is>
      </c>
      <c r="B5" s="2" t="inlineStr">
        <is>
          <t>FLK-001</t>
        </is>
      </c>
      <c r="C5" s="6" t="n">
        <v>46190</v>
      </c>
      <c r="D5" s="2" t="n">
        <v>4</v>
      </c>
      <c r="E5" s="2" t="n">
        <v>50</v>
      </c>
      <c r="F5" s="7" t="n">
        <v>1300</v>
      </c>
      <c r="G5" s="7">
        <f>$C5-INDEX(reg_Flocks[PlacedDate],MATCH($B5,reg_Flocks[FlockID],0))</f>
        <v/>
      </c>
      <c r="H5" s="8">
        <f>IFERROR($F5/$G5,0)</f>
        <v/>
      </c>
      <c r="I5" s="2" t="inlineStr">
        <is>
          <t>B. Tembo</t>
        </is>
      </c>
      <c r="J5" s="2" t="inlineStr">
        <is>
          <t>Yes</t>
        </is>
      </c>
    </row>
    <row r="6">
      <c r="A6" s="2" t="inlineStr">
        <is>
          <t>WGT-0005</t>
        </is>
      </c>
      <c r="B6" s="2" t="inlineStr">
        <is>
          <t>FLK-001</t>
        </is>
      </c>
      <c r="C6" s="6" t="n">
        <v>46197</v>
      </c>
      <c r="D6" s="2" t="n">
        <v>5</v>
      </c>
      <c r="E6" s="2" t="n">
        <v>50</v>
      </c>
      <c r="F6" s="7" t="n">
        <v>1850</v>
      </c>
      <c r="G6" s="7">
        <f>$C6-INDEX(reg_Flocks[PlacedDate],MATCH($B6,reg_Flocks[FlockID],0))</f>
        <v/>
      </c>
      <c r="H6" s="8">
        <f>IFERROR($F6/$G6,0)</f>
        <v/>
      </c>
      <c r="I6" s="2" t="inlineStr">
        <is>
          <t>C. Banda</t>
        </is>
      </c>
      <c r="J6" s="2" t="inlineStr">
        <is>
          <t>Yes</t>
        </is>
      </c>
    </row>
    <row r="7">
      <c r="A7" s="2" t="inlineStr">
        <is>
          <t>WGT-0006</t>
        </is>
      </c>
      <c r="B7" s="2" t="inlineStr">
        <is>
          <t>FLK-001</t>
        </is>
      </c>
      <c r="C7" s="6" t="n">
        <v>46204</v>
      </c>
      <c r="D7" s="2" t="n">
        <v>6</v>
      </c>
      <c r="E7" s="2" t="n">
        <v>50</v>
      </c>
      <c r="F7" s="7" t="n">
        <v>2400</v>
      </c>
      <c r="G7" s="7">
        <f>$C7-INDEX(reg_Flocks[PlacedDate],MATCH($B7,reg_Flocks[FlockID],0))</f>
        <v/>
      </c>
      <c r="H7" s="8">
        <f>IFERROR($F7/$G7,0)</f>
        <v/>
      </c>
      <c r="I7" s="2" t="inlineStr">
        <is>
          <t>C. Banda</t>
        </is>
      </c>
      <c r="J7" s="2" t="inlineStr">
        <is>
          <t>Yes</t>
        </is>
      </c>
    </row>
    <row r="8">
      <c r="A8" s="2" t="inlineStr">
        <is>
          <t>WGT-0007</t>
        </is>
      </c>
      <c r="B8" s="2" t="inlineStr">
        <is>
          <t>FLK-002</t>
        </is>
      </c>
      <c r="C8" s="6" t="n">
        <v>46205</v>
      </c>
      <c r="D8" s="2" t="n">
        <v>1</v>
      </c>
      <c r="E8" s="2" t="n">
        <v>50</v>
      </c>
      <c r="F8" s="7" t="n">
        <v>180</v>
      </c>
      <c r="G8" s="7">
        <f>$C8-INDEX(reg_Flocks[PlacedDate],MATCH($B8,reg_Flocks[FlockID],0))</f>
        <v/>
      </c>
      <c r="H8" s="8">
        <f>IFERROR($F8/$G8,0)</f>
        <v/>
      </c>
      <c r="I8" s="2" t="inlineStr">
        <is>
          <t>B. Tembo</t>
        </is>
      </c>
      <c r="J8" s="2" t="inlineStr">
        <is>
          <t>Yes</t>
        </is>
      </c>
    </row>
    <row r="9">
      <c r="A9" s="2" t="inlineStr">
        <is>
          <t>WGT-0008</t>
        </is>
      </c>
      <c r="B9" s="2" t="inlineStr">
        <is>
          <t>FLK-002</t>
        </is>
      </c>
      <c r="C9" s="6" t="n">
        <v>46212</v>
      </c>
      <c r="D9" s="2" t="n">
        <v>2</v>
      </c>
      <c r="E9" s="2" t="n">
        <v>50</v>
      </c>
      <c r="F9" s="7" t="n">
        <v>430</v>
      </c>
      <c r="G9" s="7">
        <f>$C9-INDEX(reg_Flocks[PlacedDate],MATCH($B9,reg_Flocks[FlockID],0))</f>
        <v/>
      </c>
      <c r="H9" s="8">
        <f>IFERROR($F9/$G9,0)</f>
        <v/>
      </c>
      <c r="I9" s="2" t="inlineStr">
        <is>
          <t>C. Banda</t>
        </is>
      </c>
      <c r="J9" s="2" t="inlineStr">
        <is>
          <t>Yes</t>
        </is>
      </c>
    </row>
    <row r="10">
      <c r="A10" s="2" t="inlineStr">
        <is>
          <t>WGT-0009</t>
        </is>
      </c>
      <c r="B10" s="2" t="inlineStr">
        <is>
          <t>FLK-002</t>
        </is>
      </c>
      <c r="C10" s="6" t="n">
        <v>46219</v>
      </c>
      <c r="D10" s="2" t="n">
        <v>3</v>
      </c>
      <c r="E10" s="2" t="n">
        <v>50</v>
      </c>
      <c r="F10" s="7" t="n">
        <v>800</v>
      </c>
      <c r="G10" s="7">
        <f>$C10-INDEX(reg_Flocks[PlacedDate],MATCH($B10,reg_Flocks[FlockID],0))</f>
        <v/>
      </c>
      <c r="H10" s="8">
        <f>IFERROR($F10/$G10,0)</f>
        <v/>
      </c>
      <c r="I10" s="2" t="inlineStr">
        <is>
          <t>C. Banda</t>
        </is>
      </c>
      <c r="J10" s="2" t="inlineStr">
        <is>
          <t>Yes</t>
        </is>
      </c>
    </row>
    <row r="11">
      <c r="A11" s="2" t="inlineStr">
        <is>
          <t>WGT-0010</t>
        </is>
      </c>
      <c r="B11" s="2" t="inlineStr">
        <is>
          <t>FLK-002</t>
        </is>
      </c>
      <c r="C11" s="6" t="n">
        <v>46226</v>
      </c>
      <c r="D11" s="2" t="n">
        <v>4</v>
      </c>
      <c r="E11" s="2" t="n">
        <v>50</v>
      </c>
      <c r="F11" s="7" t="n">
        <v>1300</v>
      </c>
      <c r="G11" s="7">
        <f>$C11-INDEX(reg_Flocks[PlacedDate],MATCH($B11,reg_Flocks[FlockID],0))</f>
        <v/>
      </c>
      <c r="H11" s="8">
        <f>IFERROR($F11/$G11,0)</f>
        <v/>
      </c>
      <c r="I11" s="2" t="inlineStr">
        <is>
          <t>B. Tembo</t>
        </is>
      </c>
      <c r="J11" s="2" t="inlineStr">
        <is>
          <t>Yes</t>
        </is>
      </c>
    </row>
    <row r="12">
      <c r="A12" s="2" t="inlineStr">
        <is>
          <t>WGT-0011</t>
        </is>
      </c>
      <c r="B12" s="2" t="inlineStr">
        <is>
          <t>FLK-002</t>
        </is>
      </c>
      <c r="C12" s="6" t="n">
        <v>46233</v>
      </c>
      <c r="D12" s="2" t="n">
        <v>5</v>
      </c>
      <c r="E12" s="2" t="n">
        <v>50</v>
      </c>
      <c r="F12" s="7" t="n">
        <v>1850</v>
      </c>
      <c r="G12" s="7">
        <f>$C12-INDEX(reg_Flocks[PlacedDate],MATCH($B12,reg_Flocks[FlockID],0))</f>
        <v/>
      </c>
      <c r="H12" s="8">
        <f>IFERROR($F12/$G12,0)</f>
        <v/>
      </c>
      <c r="I12" s="2" t="inlineStr">
        <is>
          <t>C. Banda</t>
        </is>
      </c>
      <c r="J12" s="2" t="inlineStr">
        <is>
          <t>Yes</t>
        </is>
      </c>
    </row>
    <row r="13">
      <c r="A13" s="2" t="inlineStr">
        <is>
          <t>WGT-0012</t>
        </is>
      </c>
      <c r="B13" s="2" t="inlineStr">
        <is>
          <t>FLK-002</t>
        </is>
      </c>
      <c r="C13" s="6" t="n">
        <v>46240</v>
      </c>
      <c r="D13" s="2" t="n">
        <v>6</v>
      </c>
      <c r="E13" s="2" t="n">
        <v>50</v>
      </c>
      <c r="F13" s="7" t="n">
        <v>2400</v>
      </c>
      <c r="G13" s="7">
        <f>$C13-INDEX(reg_Flocks[PlacedDate],MATCH($B13,reg_Flocks[FlockID],0))</f>
        <v/>
      </c>
      <c r="H13" s="8">
        <f>IFERROR($F13/$G13,0)</f>
        <v/>
      </c>
      <c r="I13" s="2" t="inlineStr">
        <is>
          <t>C. Banda</t>
        </is>
      </c>
      <c r="J13" s="2" t="inlineStr">
        <is>
          <t>Yes</t>
        </is>
      </c>
    </row>
    <row r="14">
      <c r="A14" s="2" t="inlineStr">
        <is>
          <t>WGT-0013</t>
        </is>
      </c>
      <c r="B14" s="2" t="inlineStr">
        <is>
          <t>FLK-003</t>
        </is>
      </c>
      <c r="C14" s="6" t="n">
        <v>46225</v>
      </c>
      <c r="D14" s="2" t="n">
        <v>1</v>
      </c>
      <c r="E14" s="2" t="n">
        <v>50</v>
      </c>
      <c r="F14" s="7" t="n">
        <v>180</v>
      </c>
      <c r="G14" s="7">
        <f>$C14-INDEX(reg_Flocks[PlacedDate],MATCH($B14,reg_Flocks[FlockID],0))</f>
        <v/>
      </c>
      <c r="H14" s="8">
        <f>IFERROR($F14/$G14,0)</f>
        <v/>
      </c>
      <c r="I14" s="2" t="inlineStr">
        <is>
          <t>B. Tembo</t>
        </is>
      </c>
      <c r="J14" s="2" t="inlineStr">
        <is>
          <t>Yes</t>
        </is>
      </c>
    </row>
    <row r="15">
      <c r="A15" s="2" t="inlineStr">
        <is>
          <t>WGT-0014</t>
        </is>
      </c>
      <c r="B15" s="2" t="inlineStr">
        <is>
          <t>FLK-003</t>
        </is>
      </c>
      <c r="C15" s="6" t="n">
        <v>46232</v>
      </c>
      <c r="D15" s="2" t="n">
        <v>2</v>
      </c>
      <c r="E15" s="2" t="n">
        <v>50</v>
      </c>
      <c r="F15" s="7" t="n">
        <v>430</v>
      </c>
      <c r="G15" s="7">
        <f>$C15-INDEX(reg_Flocks[PlacedDate],MATCH($B15,reg_Flocks[FlockID],0))</f>
        <v/>
      </c>
      <c r="H15" s="8">
        <f>IFERROR($F15/$G15,0)</f>
        <v/>
      </c>
      <c r="I15" s="2" t="inlineStr">
        <is>
          <t>C. Banda</t>
        </is>
      </c>
      <c r="J15" s="2" t="inlineStr">
        <is>
          <t>Yes</t>
        </is>
      </c>
    </row>
    <row r="16">
      <c r="A16" s="2" t="inlineStr">
        <is>
          <t>WGT-0015</t>
        </is>
      </c>
      <c r="B16" s="2" t="inlineStr">
        <is>
          <t>FLK-003</t>
        </is>
      </c>
      <c r="C16" s="6" t="n">
        <v>46239</v>
      </c>
      <c r="D16" s="2" t="n">
        <v>3</v>
      </c>
      <c r="E16" s="2" t="n">
        <v>50</v>
      </c>
      <c r="F16" s="7" t="n">
        <v>800</v>
      </c>
      <c r="G16" s="7">
        <f>$C16-INDEX(reg_Flocks[PlacedDate],MATCH($B16,reg_Flocks[FlockID],0))</f>
        <v/>
      </c>
      <c r="H16" s="8">
        <f>IFERROR($F16/$G16,0)</f>
        <v/>
      </c>
      <c r="I16" s="2" t="inlineStr">
        <is>
          <t>C. Banda</t>
        </is>
      </c>
      <c r="J16" s="2" t="inlineStr">
        <is>
          <t>Yes</t>
        </is>
      </c>
    </row>
    <row r="17">
      <c r="A17" s="2" t="inlineStr">
        <is>
          <t>WGT-0016</t>
        </is>
      </c>
      <c r="B17" s="2" t="inlineStr">
        <is>
          <t>FLK-004</t>
        </is>
      </c>
      <c r="C17" s="6" t="n">
        <v>46242</v>
      </c>
      <c r="D17" s="2" t="n">
        <v>1</v>
      </c>
      <c r="E17" s="2" t="n">
        <v>50</v>
      </c>
      <c r="F17" s="7" t="n">
        <v>180</v>
      </c>
      <c r="G17" s="7">
        <f>$C17-INDEX(reg_Flocks[PlacedDate],MATCH($B17,reg_Flocks[FlockID],0))</f>
        <v/>
      </c>
      <c r="H17" s="8">
        <f>IFERROR($F17/$G17,0)</f>
        <v/>
      </c>
      <c r="I17" s="2" t="inlineStr">
        <is>
          <t>B. Tembo</t>
        </is>
      </c>
      <c r="J17" s="2" t="inlineStr">
        <is>
          <t>Yes</t>
        </is>
      </c>
    </row>
  </sheetData>
  <dataValidations count="1">
    <dataValidation sqref="B2:B67" showDropDown="0" showInputMessage="0" showErrorMessage="0" allowBlank="0" type="list">
      <formula1>=FlockID_List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548235"/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0" customWidth="1" min="2" max="2"/>
    <col width="12" customWidth="1" min="3" max="3"/>
    <col width="12" customWidth="1" min="4" max="4"/>
    <col width="22" customWidth="1" min="5" max="5"/>
    <col width="16" customWidth="1" min="6" max="6"/>
    <col width="16" customWidth="1" min="7" max="7"/>
    <col width="10" customWidth="1" min="8" max="8"/>
    <col width="12" customWidth="1" min="9" max="9"/>
    <col width="16" customWidth="1" min="10" max="10"/>
  </cols>
  <sheetData>
    <row r="1">
      <c r="A1" s="5" t="inlineStr">
        <is>
          <t>EntryID</t>
        </is>
      </c>
      <c r="B1" s="5" t="inlineStr">
        <is>
          <t>FlockID</t>
        </is>
      </c>
      <c r="C1" s="5" t="inlineStr">
        <is>
          <t>Date</t>
        </is>
      </c>
      <c r="D1" s="5" t="inlineStr">
        <is>
          <t>ProductID</t>
        </is>
      </c>
      <c r="E1" s="5" t="inlineStr">
        <is>
          <t>DosageGiven</t>
        </is>
      </c>
      <c r="F1" s="5" t="inlineStr">
        <is>
          <t>Route</t>
        </is>
      </c>
      <c r="G1" s="5" t="inlineStr">
        <is>
          <t>AdministeredBy</t>
        </is>
      </c>
      <c r="H1" s="5" t="inlineStr">
        <is>
          <t>IsActive</t>
        </is>
      </c>
      <c r="I1" s="5" t="inlineStr">
        <is>
          <t>RankInFlock</t>
        </is>
      </c>
      <c r="J1" s="5" t="inlineStr">
        <is>
          <t>CompositeKey</t>
        </is>
      </c>
    </row>
    <row r="2">
      <c r="A2" s="2" t="inlineStr">
        <is>
          <t>HLTH-0001</t>
        </is>
      </c>
      <c r="B2" s="2" t="inlineStr">
        <is>
          <t>FLK-001</t>
        </is>
      </c>
      <c r="C2" s="6" t="n">
        <v>46163</v>
      </c>
      <c r="D2" s="2" t="n">
        <v>1</v>
      </c>
      <c r="E2" s="2" t="inlineStr">
        <is>
          <t>1 drop/bird</t>
        </is>
      </c>
      <c r="F2" s="2" t="inlineStr">
        <is>
          <t>Eye Drop</t>
        </is>
      </c>
      <c r="G2" s="2" t="inlineStr">
        <is>
          <t>B. Tembo</t>
        </is>
      </c>
      <c r="H2" s="2" t="inlineStr">
        <is>
          <t>Yes</t>
        </is>
      </c>
      <c r="I2" s="2">
        <f>COUNTIFS(reg_Vaccination_Health[FlockID],$B2,reg_Vaccination_Health[EntryID],"&lt;="&amp;$A2)</f>
        <v/>
      </c>
      <c r="J2" s="2">
        <f>$B2&amp;"-"&amp;$I2</f>
        <v/>
      </c>
    </row>
    <row r="3">
      <c r="A3" s="2" t="inlineStr">
        <is>
          <t>HLTH-0002</t>
        </is>
      </c>
      <c r="B3" s="2" t="inlineStr">
        <is>
          <t>FLK-001</t>
        </is>
      </c>
      <c r="C3" s="6" t="n">
        <v>46176</v>
      </c>
      <c r="D3" s="2" t="n">
        <v>2</v>
      </c>
      <c r="E3" s="2" t="inlineStr">
        <is>
          <t>Per label / 1000 birds</t>
        </is>
      </c>
      <c r="F3" s="2" t="inlineStr">
        <is>
          <t>Drinking Water</t>
        </is>
      </c>
      <c r="G3" s="2" t="inlineStr">
        <is>
          <t>B. Tembo</t>
        </is>
      </c>
      <c r="H3" s="2" t="inlineStr">
        <is>
          <t>Yes</t>
        </is>
      </c>
      <c r="I3" s="2">
        <f>COUNTIFS(reg_Vaccination_Health[FlockID],$B3,reg_Vaccination_Health[EntryID],"&lt;="&amp;$A3)</f>
        <v/>
      </c>
      <c r="J3" s="2">
        <f>$B3&amp;"-"&amp;$I3</f>
        <v/>
      </c>
    </row>
    <row r="4">
      <c r="A4" s="2" t="inlineStr">
        <is>
          <t>HLTH-0003</t>
        </is>
      </c>
      <c r="B4" s="2" t="inlineStr">
        <is>
          <t>FLK-001</t>
        </is>
      </c>
      <c r="C4" s="6" t="n">
        <v>46164</v>
      </c>
      <c r="D4" s="2" t="n">
        <v>4</v>
      </c>
      <c r="E4" s="2" t="inlineStr">
        <is>
          <t>1 ml/L water</t>
        </is>
      </c>
      <c r="F4" s="2" t="inlineStr">
        <is>
          <t>Drinking Water</t>
        </is>
      </c>
      <c r="G4" s="2" t="inlineStr">
        <is>
          <t>B. Tembo</t>
        </is>
      </c>
      <c r="H4" s="2" t="inlineStr">
        <is>
          <t>Yes</t>
        </is>
      </c>
      <c r="I4" s="2">
        <f>COUNTIFS(reg_Vaccination_Health[FlockID],$B4,reg_Vaccination_Health[EntryID],"&lt;="&amp;$A4)</f>
        <v/>
      </c>
      <c r="J4" s="2">
        <f>$B4&amp;"-"&amp;$I4</f>
        <v/>
      </c>
    </row>
    <row r="5">
      <c r="A5" s="2" t="inlineStr">
        <is>
          <t>HLTH-0004</t>
        </is>
      </c>
      <c r="B5" s="2" t="inlineStr">
        <is>
          <t>FLK-002</t>
        </is>
      </c>
      <c r="C5" s="6" t="n">
        <v>46199</v>
      </c>
      <c r="D5" s="2" t="n">
        <v>1</v>
      </c>
      <c r="E5" s="2" t="inlineStr">
        <is>
          <t>1 drop/bird</t>
        </is>
      </c>
      <c r="F5" s="2" t="inlineStr">
        <is>
          <t>Eye Drop</t>
        </is>
      </c>
      <c r="G5" s="2" t="inlineStr">
        <is>
          <t>B. Tembo</t>
        </is>
      </c>
      <c r="H5" s="2" t="inlineStr">
        <is>
          <t>Yes</t>
        </is>
      </c>
      <c r="I5" s="2">
        <f>COUNTIFS(reg_Vaccination_Health[FlockID],$B5,reg_Vaccination_Health[EntryID],"&lt;="&amp;$A5)</f>
        <v/>
      </c>
      <c r="J5" s="2">
        <f>$B5&amp;"-"&amp;$I5</f>
        <v/>
      </c>
    </row>
    <row r="6">
      <c r="A6" s="2" t="inlineStr">
        <is>
          <t>HLTH-0005</t>
        </is>
      </c>
      <c r="B6" s="2" t="inlineStr">
        <is>
          <t>FLK-002</t>
        </is>
      </c>
      <c r="C6" s="6" t="n">
        <v>46212</v>
      </c>
      <c r="D6" s="2" t="n">
        <v>2</v>
      </c>
      <c r="E6" s="2" t="inlineStr">
        <is>
          <t>Per label / 1000 birds</t>
        </is>
      </c>
      <c r="F6" s="2" t="inlineStr">
        <is>
          <t>Drinking Water</t>
        </is>
      </c>
      <c r="G6" s="2" t="inlineStr">
        <is>
          <t>B. Tembo</t>
        </is>
      </c>
      <c r="H6" s="2" t="inlineStr">
        <is>
          <t>Yes</t>
        </is>
      </c>
      <c r="I6" s="2">
        <f>COUNTIFS(reg_Vaccination_Health[FlockID],$B6,reg_Vaccination_Health[EntryID],"&lt;="&amp;$A6)</f>
        <v/>
      </c>
      <c r="J6" s="2">
        <f>$B6&amp;"-"&amp;$I6</f>
        <v/>
      </c>
    </row>
    <row r="7">
      <c r="A7" s="2" t="inlineStr">
        <is>
          <t>HLTH-0006</t>
        </is>
      </c>
      <c r="B7" s="2" t="inlineStr">
        <is>
          <t>FLK-002</t>
        </is>
      </c>
      <c r="C7" s="6" t="n">
        <v>46218</v>
      </c>
      <c r="D7" s="2" t="n">
        <v>3</v>
      </c>
      <c r="E7" s="2" t="inlineStr">
        <is>
          <t>2 ml/L water x 5 days</t>
        </is>
      </c>
      <c r="F7" s="2" t="inlineStr">
        <is>
          <t>Drinking Water</t>
        </is>
      </c>
      <c r="G7" s="2" t="inlineStr">
        <is>
          <t>B. Tembo</t>
        </is>
      </c>
      <c r="H7" s="2" t="inlineStr">
        <is>
          <t>Yes</t>
        </is>
      </c>
      <c r="I7" s="2">
        <f>COUNTIFS(reg_Vaccination_Health[FlockID],$B7,reg_Vaccination_Health[EntryID],"&lt;="&amp;$A7)</f>
        <v/>
      </c>
      <c r="J7" s="2">
        <f>$B7&amp;"-"&amp;$I7</f>
        <v/>
      </c>
    </row>
    <row r="8">
      <c r="A8" s="2" t="inlineStr">
        <is>
          <t>HLTH-0007</t>
        </is>
      </c>
      <c r="B8" s="2" t="inlineStr">
        <is>
          <t>FLK-002</t>
        </is>
      </c>
      <c r="C8" s="6" t="n">
        <v>46200</v>
      </c>
      <c r="D8" s="2" t="n">
        <v>4</v>
      </c>
      <c r="E8" s="2" t="inlineStr">
        <is>
          <t>1 ml/L water</t>
        </is>
      </c>
      <c r="F8" s="2" t="inlineStr">
        <is>
          <t>Drinking Water</t>
        </is>
      </c>
      <c r="G8" s="2" t="inlineStr">
        <is>
          <t>B. Tembo</t>
        </is>
      </c>
      <c r="H8" s="2" t="inlineStr">
        <is>
          <t>Yes</t>
        </is>
      </c>
      <c r="I8" s="2">
        <f>COUNTIFS(reg_Vaccination_Health[FlockID],$B8,reg_Vaccination_Health[EntryID],"&lt;="&amp;$A8)</f>
        <v/>
      </c>
      <c r="J8" s="2">
        <f>$B8&amp;"-"&amp;$I8</f>
        <v/>
      </c>
    </row>
    <row r="9">
      <c r="A9" s="2" t="inlineStr">
        <is>
          <t>HLTH-0008</t>
        </is>
      </c>
      <c r="B9" s="2" t="inlineStr">
        <is>
          <t>FLK-003</t>
        </is>
      </c>
      <c r="C9" s="6" t="n">
        <v>46219</v>
      </c>
      <c r="D9" s="2" t="n">
        <v>1</v>
      </c>
      <c r="E9" s="2" t="inlineStr">
        <is>
          <t>1 drop/bird</t>
        </is>
      </c>
      <c r="F9" s="2" t="inlineStr">
        <is>
          <t>Eye Drop</t>
        </is>
      </c>
      <c r="G9" s="2" t="inlineStr">
        <is>
          <t>B. Tembo</t>
        </is>
      </c>
      <c r="H9" s="2" t="inlineStr">
        <is>
          <t>Yes</t>
        </is>
      </c>
      <c r="I9" s="2">
        <f>COUNTIFS(reg_Vaccination_Health[FlockID],$B9,reg_Vaccination_Health[EntryID],"&lt;="&amp;$A9)</f>
        <v/>
      </c>
      <c r="J9" s="2">
        <f>$B9&amp;"-"&amp;$I9</f>
        <v/>
      </c>
    </row>
    <row r="10">
      <c r="A10" s="2" t="inlineStr">
        <is>
          <t>HLTH-0009</t>
        </is>
      </c>
      <c r="B10" s="2" t="inlineStr">
        <is>
          <t>FLK-003</t>
        </is>
      </c>
      <c r="C10" s="6" t="n">
        <v>46232</v>
      </c>
      <c r="D10" s="2" t="n">
        <v>2</v>
      </c>
      <c r="E10" s="2" t="inlineStr">
        <is>
          <t>Per label / 1000 birds</t>
        </is>
      </c>
      <c r="F10" s="2" t="inlineStr">
        <is>
          <t>Drinking Water</t>
        </is>
      </c>
      <c r="G10" s="2" t="inlineStr">
        <is>
          <t>B. Tembo</t>
        </is>
      </c>
      <c r="H10" s="2" t="inlineStr">
        <is>
          <t>Yes</t>
        </is>
      </c>
      <c r="I10" s="2">
        <f>COUNTIFS(reg_Vaccination_Health[FlockID],$B10,reg_Vaccination_Health[EntryID],"&lt;="&amp;$A10)</f>
        <v/>
      </c>
      <c r="J10" s="2">
        <f>$B10&amp;"-"&amp;$I10</f>
        <v/>
      </c>
    </row>
    <row r="11">
      <c r="A11" s="2" t="inlineStr">
        <is>
          <t>HLTH-0010</t>
        </is>
      </c>
      <c r="B11" s="2" t="inlineStr">
        <is>
          <t>FLK-003</t>
        </is>
      </c>
      <c r="C11" s="6" t="n">
        <v>46220</v>
      </c>
      <c r="D11" s="2" t="n">
        <v>4</v>
      </c>
      <c r="E11" s="2" t="inlineStr">
        <is>
          <t>1 ml/L water</t>
        </is>
      </c>
      <c r="F11" s="2" t="inlineStr">
        <is>
          <t>Drinking Water</t>
        </is>
      </c>
      <c r="G11" s="2" t="inlineStr">
        <is>
          <t>B. Tembo</t>
        </is>
      </c>
      <c r="H11" s="2" t="inlineStr">
        <is>
          <t>Yes</t>
        </is>
      </c>
      <c r="I11" s="2">
        <f>COUNTIFS(reg_Vaccination_Health[FlockID],$B11,reg_Vaccination_Health[EntryID],"&lt;="&amp;$A11)</f>
        <v/>
      </c>
      <c r="J11" s="2">
        <f>$B11&amp;"-"&amp;$I11</f>
        <v/>
      </c>
    </row>
    <row r="12">
      <c r="A12" s="2" t="inlineStr">
        <is>
          <t>HLTH-0011</t>
        </is>
      </c>
      <c r="B12" s="2" t="inlineStr">
        <is>
          <t>FLK-004</t>
        </is>
      </c>
      <c r="C12" s="6" t="n">
        <v>46236</v>
      </c>
      <c r="D12" s="2" t="n">
        <v>1</v>
      </c>
      <c r="E12" s="2" t="inlineStr">
        <is>
          <t>1 drop/bird</t>
        </is>
      </c>
      <c r="F12" s="2" t="inlineStr">
        <is>
          <t>Eye Drop</t>
        </is>
      </c>
      <c r="G12" s="2" t="inlineStr">
        <is>
          <t>B. Tembo</t>
        </is>
      </c>
      <c r="H12" s="2" t="inlineStr">
        <is>
          <t>Yes</t>
        </is>
      </c>
      <c r="I12" s="2">
        <f>COUNTIFS(reg_Vaccination_Health[FlockID],$B12,reg_Vaccination_Health[EntryID],"&lt;="&amp;$A12)</f>
        <v/>
      </c>
      <c r="J12" s="2">
        <f>$B12&amp;"-"&amp;$I12</f>
        <v/>
      </c>
    </row>
    <row r="13">
      <c r="A13" s="2" t="inlineStr">
        <is>
          <t>HLTH-0012</t>
        </is>
      </c>
      <c r="B13" s="2" t="inlineStr">
        <is>
          <t>FLK-004</t>
        </is>
      </c>
      <c r="C13" s="6" t="n">
        <v>46237</v>
      </c>
      <c r="D13" s="2" t="n">
        <v>4</v>
      </c>
      <c r="E13" s="2" t="inlineStr">
        <is>
          <t>1 ml/L water</t>
        </is>
      </c>
      <c r="F13" s="2" t="inlineStr">
        <is>
          <t>Drinking Water</t>
        </is>
      </c>
      <c r="G13" s="2" t="inlineStr">
        <is>
          <t>B. Tembo</t>
        </is>
      </c>
      <c r="H13" s="2" t="inlineStr">
        <is>
          <t>Yes</t>
        </is>
      </c>
      <c r="I13" s="2">
        <f>COUNTIFS(reg_Vaccination_Health[FlockID],$B13,reg_Vaccination_Health[EntryID],"&lt;="&amp;$A13)</f>
        <v/>
      </c>
      <c r="J13" s="2">
        <f>$B13&amp;"-"&amp;$I13</f>
        <v/>
      </c>
    </row>
  </sheetData>
  <dataValidations count="3">
    <dataValidation sqref="D2:D63" showDropDown="0" showInputMessage="0" showErrorMessage="0" allowBlank="0" type="list">
      <formula1>=ProductID_List</formula1>
    </dataValidation>
    <dataValidation sqref="B2:B63" showDropDown="0" showInputMessage="0" showErrorMessage="0" allowBlank="0" type="list">
      <formula1>=FlockID_List</formula1>
    </dataValidation>
    <dataValidation sqref="F2:F63" showDropDown="0" showInputMessage="0" showErrorMessage="0" allowBlank="0" type="list">
      <formula1>=List_VaccinationRoute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548235"/>
    <outlinePr summaryBelow="1" summaryRight="1"/>
    <pageSetUpPr/>
  </sheetPr>
  <dimension ref="A1:O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0" customWidth="1" min="2" max="2"/>
    <col width="12" customWidth="1" min="3" max="3"/>
    <col width="12" customWidth="1" min="4" max="4"/>
    <col width="16" customWidth="1" min="5" max="5"/>
    <col width="18" customWidth="1" min="6" max="6"/>
    <col width="14" customWidth="1" min="7" max="7"/>
    <col width="14" customWidth="1" min="8" max="8"/>
    <col width="14" customWidth="1" min="9" max="9"/>
    <col width="16" customWidth="1" min="10" max="10"/>
    <col width="14" customWidth="1" min="11" max="11"/>
    <col width="18" customWidth="1" min="12" max="12"/>
    <col width="14" customWidth="1" min="13" max="13"/>
    <col width="14" customWidth="1" min="14" max="14"/>
    <col width="10" customWidth="1" min="15" max="15"/>
  </cols>
  <sheetData>
    <row r="1">
      <c r="A1" s="5" t="inlineStr">
        <is>
          <t>EntryID</t>
        </is>
      </c>
      <c r="B1" s="5" t="inlineStr">
        <is>
          <t>FlockID</t>
        </is>
      </c>
      <c r="C1" s="5" t="inlineStr">
        <is>
          <t>Date</t>
        </is>
      </c>
      <c r="D1" s="5" t="inlineStr">
        <is>
          <t>CustomerID</t>
        </is>
      </c>
      <c r="E1" s="5" t="inlineStr">
        <is>
          <t>BirdsDispatched</t>
        </is>
      </c>
      <c r="F1" s="5" t="inlineStr">
        <is>
          <t>TotalLiveWeightKg</t>
        </is>
      </c>
      <c r="G1" s="5" t="inlineStr">
        <is>
          <t>PricePerKg_ZMW</t>
        </is>
      </c>
      <c r="H1" s="5" t="inlineStr">
        <is>
          <t>PricePerBird_ZMW</t>
        </is>
      </c>
      <c r="I1" s="5" t="inlineStr">
        <is>
          <t>TransportCost_ZMW</t>
        </is>
      </c>
      <c r="J1" s="5" t="inlineStr">
        <is>
          <t>TotalValue_ZMW</t>
        </is>
      </c>
      <c r="K1" s="5" t="inlineStr">
        <is>
          <t>AmountPaid_ZMW</t>
        </is>
      </c>
      <c r="L1" s="5" t="inlineStr">
        <is>
          <t>OutstandingBalance_ZMW</t>
        </is>
      </c>
      <c r="M1" s="5" t="inlineStr">
        <is>
          <t>InvoiceNo</t>
        </is>
      </c>
      <c r="N1" s="5" t="inlineStr">
        <is>
          <t>EnteredBy</t>
        </is>
      </c>
      <c r="O1" s="5" t="inlineStr">
        <is>
          <t>IsActive</t>
        </is>
      </c>
    </row>
    <row r="2">
      <c r="A2" s="2" t="inlineStr">
        <is>
          <t>SALE-0001</t>
        </is>
      </c>
      <c r="B2" s="2" t="inlineStr">
        <is>
          <t>FLK-001</t>
        </is>
      </c>
      <c r="C2" s="6" t="n">
        <v>46204</v>
      </c>
      <c r="D2" s="2" t="n">
        <v>1</v>
      </c>
      <c r="E2" s="7" t="n">
        <v>3000</v>
      </c>
      <c r="F2" s="8" t="n">
        <v>6750</v>
      </c>
      <c r="G2" s="3" t="n">
        <v>42.5</v>
      </c>
      <c r="H2" s="3" t="n">
        <v>0</v>
      </c>
      <c r="I2" s="3" t="n">
        <v>350</v>
      </c>
      <c r="J2" s="3">
        <f>ROUND(IF($H2&gt;0,$E2*$H2,$F2*$G2)+$I2,2)</f>
        <v/>
      </c>
      <c r="K2" s="3" t="n">
        <v>287225</v>
      </c>
      <c r="L2" s="3">
        <f>$J2-$K2</f>
        <v/>
      </c>
      <c r="M2" s="2" t="inlineStr">
        <is>
          <t>INV-2026-0142</t>
        </is>
      </c>
      <c r="N2" s="2" t="inlineStr">
        <is>
          <t>A. Mwansa</t>
        </is>
      </c>
      <c r="O2" s="2" t="inlineStr">
        <is>
          <t>Yes</t>
        </is>
      </c>
    </row>
    <row r="3">
      <c r="A3" s="2" t="inlineStr">
        <is>
          <t>SALE-0002</t>
        </is>
      </c>
      <c r="B3" s="2" t="inlineStr">
        <is>
          <t>FLK-001</t>
        </is>
      </c>
      <c r="C3" s="6" t="n">
        <v>46204</v>
      </c>
      <c r="D3" s="2" t="n">
        <v>3</v>
      </c>
      <c r="E3" s="7" t="n">
        <v>1950</v>
      </c>
      <c r="F3" s="8" t="n">
        <v>4387.5</v>
      </c>
      <c r="G3" s="3" t="n">
        <v>41</v>
      </c>
      <c r="H3" s="3" t="n">
        <v>0</v>
      </c>
      <c r="I3" s="3" t="n">
        <v>300</v>
      </c>
      <c r="J3" s="3">
        <f>ROUND(IF($H3&gt;0,$E3*$H3,$F3*$G3)+$I3,2)</f>
        <v/>
      </c>
      <c r="K3" s="3" t="n">
        <v>150000</v>
      </c>
      <c r="L3" s="3">
        <f>$J3-$K3</f>
        <v/>
      </c>
      <c r="M3" s="2" t="inlineStr">
        <is>
          <t>INV-2026-0143</t>
        </is>
      </c>
      <c r="N3" s="2" t="inlineStr">
        <is>
          <t>A. Mwansa</t>
        </is>
      </c>
      <c r="O3" s="2" t="inlineStr">
        <is>
          <t>Yes</t>
        </is>
      </c>
    </row>
  </sheetData>
  <dataValidations count="2">
    <dataValidation sqref="D2:D53" showDropDown="0" showInputMessage="0" showErrorMessage="0" allowBlank="0" type="list">
      <formula1>=CustomerID_List</formula1>
    </dataValidation>
    <dataValidation sqref="B2:B53" showDropDown="0" showInputMessage="0" showErrorMessage="0" allowBlank="0" type="list">
      <formula1>=FlockID_List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00548235"/>
    <outlinePr summaryBelow="1" summaryRight="1"/>
    <pageSetUpPr/>
  </sheetPr>
  <dimension ref="A1:M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18" customWidth="1" min="4" max="4"/>
    <col width="12" customWidth="1" min="5" max="5"/>
    <col width="12" customWidth="1" min="6" max="6"/>
    <col width="14" customWidth="1" min="7" max="7"/>
    <col width="14" customWidth="1" min="8" max="8"/>
    <col width="16" customWidth="1" min="9" max="9"/>
    <col width="14" customWidth="1" min="10" max="10"/>
    <col width="14" customWidth="1" min="11" max="11"/>
    <col width="14" customWidth="1" min="12" max="12"/>
    <col width="10" customWidth="1" min="13" max="13"/>
  </cols>
  <sheetData>
    <row r="1">
      <c r="A1" s="5" t="inlineStr">
        <is>
          <t>EntryID</t>
        </is>
      </c>
      <c r="B1" s="5" t="inlineStr">
        <is>
          <t>FlockID</t>
        </is>
      </c>
      <c r="C1" s="5" t="inlineStr">
        <is>
          <t>Date</t>
        </is>
      </c>
      <c r="D1" s="5" t="inlineStr">
        <is>
          <t>ExpenseCategory</t>
        </is>
      </c>
      <c r="E1" s="5" t="inlineStr">
        <is>
          <t>SupplierID</t>
        </is>
      </c>
      <c r="F1" s="5" t="inlineStr">
        <is>
          <t>Quantity</t>
        </is>
      </c>
      <c r="G1" s="5" t="inlineStr">
        <is>
          <t>UnitCost_ZMW</t>
        </is>
      </c>
      <c r="H1" s="5" t="inlineStr">
        <is>
          <t>Amount_ZMW</t>
        </is>
      </c>
      <c r="I1" s="5" t="inlineStr">
        <is>
          <t>PaymentMethod</t>
        </is>
      </c>
      <c r="J1" s="5" t="inlineStr">
        <is>
          <t>PaymentRef</t>
        </is>
      </c>
      <c r="K1" s="5" t="inlineStr">
        <is>
          <t>ApprovedBy</t>
        </is>
      </c>
      <c r="L1" s="5" t="inlineStr">
        <is>
          <t>EnteredBy</t>
        </is>
      </c>
      <c r="M1" s="5" t="inlineStr">
        <is>
          <t>IsActive</t>
        </is>
      </c>
    </row>
    <row r="2">
      <c r="A2" s="2" t="inlineStr">
        <is>
          <t>EXP-0001</t>
        </is>
      </c>
      <c r="B2" s="2" t="inlineStr">
        <is>
          <t>FLK-001</t>
        </is>
      </c>
      <c r="C2" s="6" t="n">
        <v>46161</v>
      </c>
      <c r="D2" s="2" t="inlineStr">
        <is>
          <t>Bedding/Litter</t>
        </is>
      </c>
      <c r="E2" s="2" t="n">
        <v>4</v>
      </c>
      <c r="F2" s="2" t="n">
        <v>1</v>
      </c>
      <c r="G2" s="3" t="n">
        <v>1800</v>
      </c>
      <c r="H2" s="3">
        <f>ROUND($F2*$G2,2)</f>
        <v/>
      </c>
      <c r="I2" s="2" t="inlineStr">
        <is>
          <t>Mobile Money</t>
        </is>
      </c>
      <c r="J2" s="2" t="inlineStr">
        <is>
          <t>PMT-1001</t>
        </is>
      </c>
      <c r="K2" s="2" t="inlineStr">
        <is>
          <t>A. Mwansa</t>
        </is>
      </c>
      <c r="L2" s="2" t="inlineStr">
        <is>
          <t>A. Mwansa</t>
        </is>
      </c>
      <c r="M2" s="2" t="inlineStr">
        <is>
          <t>Yes</t>
        </is>
      </c>
    </row>
    <row r="3">
      <c r="A3" s="2" t="inlineStr">
        <is>
          <t>EXP-0002</t>
        </is>
      </c>
      <c r="B3" s="2" t="inlineStr">
        <is>
          <t>FLK-001</t>
        </is>
      </c>
      <c r="C3" s="6" t="n">
        <v>46162</v>
      </c>
      <c r="D3" s="2" t="inlineStr">
        <is>
          <t>Day-Old Chicks</t>
        </is>
      </c>
      <c r="E3" s="2" t="n">
        <v>1</v>
      </c>
      <c r="F3" s="2" t="n">
        <v>5000</v>
      </c>
      <c r="G3" s="3" t="n">
        <v>4.5</v>
      </c>
      <c r="H3" s="3">
        <f>ROUND($F3*$G3,2)</f>
        <v/>
      </c>
      <c r="I3" s="2" t="inlineStr">
        <is>
          <t>Bank Transfer</t>
        </is>
      </c>
      <c r="J3" s="2" t="inlineStr">
        <is>
          <t>PMT-1002</t>
        </is>
      </c>
      <c r="K3" s="2" t="inlineStr">
        <is>
          <t>A. Mwansa</t>
        </is>
      </c>
      <c r="L3" s="2" t="inlineStr">
        <is>
          <t>A. Mwansa</t>
        </is>
      </c>
      <c r="M3" s="2" t="inlineStr">
        <is>
          <t>Yes</t>
        </is>
      </c>
    </row>
    <row r="4">
      <c r="A4" s="2" t="inlineStr">
        <is>
          <t>EXP-0003</t>
        </is>
      </c>
      <c r="B4" s="2" t="inlineStr">
        <is>
          <t>FLK-001</t>
        </is>
      </c>
      <c r="C4" s="6" t="n">
        <v>46183</v>
      </c>
      <c r="D4" s="2" t="inlineStr">
        <is>
          <t>Veterinary</t>
        </is>
      </c>
      <c r="E4" s="2" t="n">
        <v>3</v>
      </c>
      <c r="F4" s="2" t="n">
        <v>1</v>
      </c>
      <c r="G4" s="3" t="n">
        <v>950</v>
      </c>
      <c r="H4" s="3">
        <f>ROUND($F4*$G4,2)</f>
        <v/>
      </c>
      <c r="I4" s="2" t="inlineStr">
        <is>
          <t>Cash</t>
        </is>
      </c>
      <c r="J4" s="2" t="inlineStr">
        <is>
          <t>PMT-1005</t>
        </is>
      </c>
      <c r="K4" s="2" t="inlineStr">
        <is>
          <t>B. Tembo</t>
        </is>
      </c>
      <c r="L4" s="2" t="inlineStr">
        <is>
          <t>B. Tembo</t>
        </is>
      </c>
      <c r="M4" s="2" t="inlineStr">
        <is>
          <t>Yes</t>
        </is>
      </c>
    </row>
    <row r="5">
      <c r="A5" s="2" t="inlineStr">
        <is>
          <t>EXP-0004</t>
        </is>
      </c>
      <c r="B5" s="2" t="inlineStr">
        <is>
          <t>FLK-001</t>
        </is>
      </c>
      <c r="C5" s="6" t="n">
        <v>46201</v>
      </c>
      <c r="D5" s="2" t="inlineStr">
        <is>
          <t>Transport</t>
        </is>
      </c>
      <c r="E5" s="2" t="n"/>
      <c r="F5" s="2" t="n">
        <v>1</v>
      </c>
      <c r="G5" s="3" t="n">
        <v>1200</v>
      </c>
      <c r="H5" s="3">
        <f>ROUND($F5*$G5,2)</f>
        <v/>
      </c>
      <c r="I5" s="2" t="inlineStr">
        <is>
          <t>Cash</t>
        </is>
      </c>
      <c r="J5" s="2" t="inlineStr">
        <is>
          <t>PMT-1009</t>
        </is>
      </c>
      <c r="K5" s="2" t="inlineStr">
        <is>
          <t>A. Mwansa</t>
        </is>
      </c>
      <c r="L5" s="2" t="inlineStr">
        <is>
          <t>A. Mwansa</t>
        </is>
      </c>
      <c r="M5" s="2" t="inlineStr">
        <is>
          <t>Yes</t>
        </is>
      </c>
    </row>
    <row r="6">
      <c r="A6" s="2" t="inlineStr">
        <is>
          <t>EXP-0005</t>
        </is>
      </c>
      <c r="B6" s="2" t="inlineStr">
        <is>
          <t>FLK-001</t>
        </is>
      </c>
      <c r="C6" s="6" t="n">
        <v>46203</v>
      </c>
      <c r="D6" s="2" t="inlineStr">
        <is>
          <t>Labour</t>
        </is>
      </c>
      <c r="E6" s="2" t="n"/>
      <c r="F6" s="2" t="n">
        <v>1</v>
      </c>
      <c r="G6" s="3" t="n">
        <v>2400</v>
      </c>
      <c r="H6" s="3">
        <f>ROUND($F6*$G6,2)</f>
        <v/>
      </c>
      <c r="I6" s="2" t="inlineStr">
        <is>
          <t>Mobile Money</t>
        </is>
      </c>
      <c r="J6" s="2" t="inlineStr">
        <is>
          <t>PMT-1010</t>
        </is>
      </c>
      <c r="K6" s="2" t="inlineStr">
        <is>
          <t>A. Mwansa</t>
        </is>
      </c>
      <c r="L6" s="2" t="inlineStr">
        <is>
          <t>A. Mwansa</t>
        </is>
      </c>
      <c r="M6" s="2" t="inlineStr">
        <is>
          <t>Yes</t>
        </is>
      </c>
    </row>
    <row r="7">
      <c r="A7" s="2" t="inlineStr">
        <is>
          <t>EXP-0006</t>
        </is>
      </c>
      <c r="B7" s="2" t="inlineStr">
        <is>
          <t>FLK-002</t>
        </is>
      </c>
      <c r="C7" s="6" t="n">
        <v>46197</v>
      </c>
      <c r="D7" s="2" t="inlineStr">
        <is>
          <t>Bedding/Litter</t>
        </is>
      </c>
      <c r="E7" s="2" t="n">
        <v>4</v>
      </c>
      <c r="F7" s="2" t="n">
        <v>1</v>
      </c>
      <c r="G7" s="3" t="n">
        <v>1800</v>
      </c>
      <c r="H7" s="3">
        <f>ROUND($F7*$G7,2)</f>
        <v/>
      </c>
      <c r="I7" s="2" t="inlineStr">
        <is>
          <t>Mobile Money</t>
        </is>
      </c>
      <c r="J7" s="2" t="inlineStr">
        <is>
          <t>PMT-1011</t>
        </is>
      </c>
      <c r="K7" s="2" t="inlineStr">
        <is>
          <t>A. Mwansa</t>
        </is>
      </c>
      <c r="L7" s="2" t="inlineStr">
        <is>
          <t>A. Mwansa</t>
        </is>
      </c>
      <c r="M7" s="2" t="inlineStr">
        <is>
          <t>Yes</t>
        </is>
      </c>
    </row>
    <row r="8">
      <c r="A8" s="2" t="inlineStr">
        <is>
          <t>EXP-0007</t>
        </is>
      </c>
      <c r="B8" s="2" t="inlineStr">
        <is>
          <t>FLK-002</t>
        </is>
      </c>
      <c r="C8" s="6" t="n">
        <v>46198</v>
      </c>
      <c r="D8" s="2" t="inlineStr">
        <is>
          <t>Day-Old Chicks</t>
        </is>
      </c>
      <c r="E8" s="2" t="n">
        <v>1</v>
      </c>
      <c r="F8" s="2" t="n">
        <v>5000</v>
      </c>
      <c r="G8" s="3" t="n">
        <v>4.6</v>
      </c>
      <c r="H8" s="3">
        <f>ROUND($F8*$G8,2)</f>
        <v/>
      </c>
      <c r="I8" s="2" t="inlineStr">
        <is>
          <t>Bank Transfer</t>
        </is>
      </c>
      <c r="J8" s="2" t="inlineStr">
        <is>
          <t>PMT-1012</t>
        </is>
      </c>
      <c r="K8" s="2" t="inlineStr">
        <is>
          <t>A. Mwansa</t>
        </is>
      </c>
      <c r="L8" s="2" t="inlineStr">
        <is>
          <t>A. Mwansa</t>
        </is>
      </c>
      <c r="M8" s="2" t="inlineStr">
        <is>
          <t>Yes</t>
        </is>
      </c>
    </row>
    <row r="9">
      <c r="A9" s="2" t="inlineStr">
        <is>
          <t>EXP-0008</t>
        </is>
      </c>
      <c r="B9" s="2" t="inlineStr">
        <is>
          <t>FLK-002</t>
        </is>
      </c>
      <c r="C9" s="6" t="n">
        <v>46218</v>
      </c>
      <c r="D9" s="2" t="inlineStr">
        <is>
          <t>Veterinary</t>
        </is>
      </c>
      <c r="E9" s="2" t="n">
        <v>3</v>
      </c>
      <c r="F9" s="2" t="n">
        <v>1</v>
      </c>
      <c r="G9" s="3" t="n">
        <v>1100</v>
      </c>
      <c r="H9" s="3">
        <f>ROUND($F9*$G9,2)</f>
        <v/>
      </c>
      <c r="I9" s="2" t="inlineStr">
        <is>
          <t>Cash</t>
        </is>
      </c>
      <c r="J9" s="2" t="inlineStr">
        <is>
          <t>PMT-1018</t>
        </is>
      </c>
      <c r="K9" s="2" t="inlineStr">
        <is>
          <t>B. Tembo</t>
        </is>
      </c>
      <c r="L9" s="2" t="inlineStr">
        <is>
          <t>B. Tembo</t>
        </is>
      </c>
      <c r="M9" s="2" t="inlineStr">
        <is>
          <t>Yes</t>
        </is>
      </c>
    </row>
    <row r="10">
      <c r="A10" s="2" t="inlineStr">
        <is>
          <t>EXP-0009</t>
        </is>
      </c>
      <c r="B10" s="2" t="inlineStr">
        <is>
          <t>FLK-002</t>
        </is>
      </c>
      <c r="C10" s="6" t="n">
        <v>46231</v>
      </c>
      <c r="D10" s="2" t="inlineStr">
        <is>
          <t>Labour</t>
        </is>
      </c>
      <c r="E10" s="2" t="n"/>
      <c r="F10" s="2" t="n">
        <v>1</v>
      </c>
      <c r="G10" s="3" t="n">
        <v>2400</v>
      </c>
      <c r="H10" s="3">
        <f>ROUND($F10*$G10,2)</f>
        <v/>
      </c>
      <c r="I10" s="2" t="inlineStr">
        <is>
          <t>Mobile Money</t>
        </is>
      </c>
      <c r="J10" s="2" t="inlineStr">
        <is>
          <t>PMT-1024</t>
        </is>
      </c>
      <c r="K10" s="2" t="inlineStr">
        <is>
          <t>A. Mwansa</t>
        </is>
      </c>
      <c r="L10" s="2" t="inlineStr">
        <is>
          <t>A. Mwansa</t>
        </is>
      </c>
      <c r="M10" s="2" t="inlineStr">
        <is>
          <t>Yes</t>
        </is>
      </c>
    </row>
    <row r="11">
      <c r="A11" s="2" t="inlineStr">
        <is>
          <t>EXP-0010</t>
        </is>
      </c>
      <c r="B11" s="2" t="inlineStr">
        <is>
          <t>FLK-003</t>
        </is>
      </c>
      <c r="C11" s="6" t="n">
        <v>46217</v>
      </c>
      <c r="D11" s="2" t="inlineStr">
        <is>
          <t>Bedding/Litter</t>
        </is>
      </c>
      <c r="E11" s="2" t="n">
        <v>4</v>
      </c>
      <c r="F11" s="2" t="n">
        <v>1</v>
      </c>
      <c r="G11" s="3" t="n">
        <v>1450</v>
      </c>
      <c r="H11" s="3">
        <f>ROUND($F11*$G11,2)</f>
        <v/>
      </c>
      <c r="I11" s="2" t="inlineStr">
        <is>
          <t>Cash</t>
        </is>
      </c>
      <c r="J11" s="2" t="inlineStr">
        <is>
          <t>PMT-1026</t>
        </is>
      </c>
      <c r="K11" s="2" t="inlineStr">
        <is>
          <t>A. Mwansa</t>
        </is>
      </c>
      <c r="L11" s="2" t="inlineStr">
        <is>
          <t>A. Mwansa</t>
        </is>
      </c>
      <c r="M11" s="2" t="inlineStr">
        <is>
          <t>Yes</t>
        </is>
      </c>
    </row>
    <row r="12">
      <c r="A12" s="2" t="inlineStr">
        <is>
          <t>EXP-0011</t>
        </is>
      </c>
      <c r="B12" s="2" t="inlineStr">
        <is>
          <t>FLK-003</t>
        </is>
      </c>
      <c r="C12" s="6" t="n">
        <v>46218</v>
      </c>
      <c r="D12" s="2" t="inlineStr">
        <is>
          <t>Day-Old Chicks</t>
        </is>
      </c>
      <c r="E12" s="2" t="n">
        <v>1</v>
      </c>
      <c r="F12" s="2" t="n">
        <v>4000</v>
      </c>
      <c r="G12" s="3" t="n">
        <v>4.5</v>
      </c>
      <c r="H12" s="3">
        <f>ROUND($F12*$G12,2)</f>
        <v/>
      </c>
      <c r="I12" s="2" t="inlineStr">
        <is>
          <t>Bank Transfer</t>
        </is>
      </c>
      <c r="J12" s="2" t="inlineStr">
        <is>
          <t>PMT-1027</t>
        </is>
      </c>
      <c r="K12" s="2" t="inlineStr">
        <is>
          <t>A. Mwansa</t>
        </is>
      </c>
      <c r="L12" s="2" t="inlineStr">
        <is>
          <t>A. Mwansa</t>
        </is>
      </c>
      <c r="M12" s="2" t="inlineStr">
        <is>
          <t>Yes</t>
        </is>
      </c>
    </row>
    <row r="13">
      <c r="A13" s="2" t="inlineStr">
        <is>
          <t>EXP-0012</t>
        </is>
      </c>
      <c r="B13" s="2" t="inlineStr">
        <is>
          <t>FLK-003</t>
        </is>
      </c>
      <c r="C13" s="6" t="n">
        <v>46235</v>
      </c>
      <c r="D13" s="2" t="inlineStr">
        <is>
          <t>Labour</t>
        </is>
      </c>
      <c r="E13" s="2" t="n"/>
      <c r="F13" s="2" t="n">
        <v>1</v>
      </c>
      <c r="G13" s="3" t="n">
        <v>2000</v>
      </c>
      <c r="H13" s="3">
        <f>ROUND($F13*$G13,2)</f>
        <v/>
      </c>
      <c r="I13" s="2" t="inlineStr">
        <is>
          <t>Mobile Money</t>
        </is>
      </c>
      <c r="J13" s="2" t="inlineStr">
        <is>
          <t>PMT-1032</t>
        </is>
      </c>
      <c r="K13" s="2" t="inlineStr">
        <is>
          <t>B. Tembo</t>
        </is>
      </c>
      <c r="L13" s="2" t="inlineStr">
        <is>
          <t>B. Tembo</t>
        </is>
      </c>
      <c r="M13" s="2" t="inlineStr">
        <is>
          <t>Yes</t>
        </is>
      </c>
    </row>
    <row r="14">
      <c r="A14" s="2" t="inlineStr">
        <is>
          <t>EXP-0013</t>
        </is>
      </c>
      <c r="B14" s="2" t="inlineStr">
        <is>
          <t>FLK-004</t>
        </is>
      </c>
      <c r="C14" s="6" t="n">
        <v>46234</v>
      </c>
      <c r="D14" s="2" t="inlineStr">
        <is>
          <t>Bedding/Litter</t>
        </is>
      </c>
      <c r="E14" s="2" t="n">
        <v>4</v>
      </c>
      <c r="F14" s="2" t="n">
        <v>1</v>
      </c>
      <c r="G14" s="3" t="n">
        <v>1800</v>
      </c>
      <c r="H14" s="3">
        <f>ROUND($F14*$G14,2)</f>
        <v/>
      </c>
      <c r="I14" s="2" t="inlineStr">
        <is>
          <t>Cash</t>
        </is>
      </c>
      <c r="J14" s="2" t="inlineStr">
        <is>
          <t>PMT-1035</t>
        </is>
      </c>
      <c r="K14" s="2" t="inlineStr">
        <is>
          <t>A. Mwansa</t>
        </is>
      </c>
      <c r="L14" s="2" t="inlineStr">
        <is>
          <t>A. Mwansa</t>
        </is>
      </c>
      <c r="M14" s="2" t="inlineStr">
        <is>
          <t>Yes</t>
        </is>
      </c>
    </row>
    <row r="15">
      <c r="A15" s="2" t="inlineStr">
        <is>
          <t>EXP-0014</t>
        </is>
      </c>
      <c r="B15" s="2" t="inlineStr">
        <is>
          <t>FLK-004</t>
        </is>
      </c>
      <c r="C15" s="6" t="n">
        <v>46235</v>
      </c>
      <c r="D15" s="2" t="inlineStr">
        <is>
          <t>Day-Old Chicks</t>
        </is>
      </c>
      <c r="E15" s="2" t="n">
        <v>1</v>
      </c>
      <c r="F15" s="2" t="n">
        <v>5000</v>
      </c>
      <c r="G15" s="3" t="n">
        <v>4.5</v>
      </c>
      <c r="H15" s="3">
        <f>ROUND($F15*$G15,2)</f>
        <v/>
      </c>
      <c r="I15" s="2" t="inlineStr">
        <is>
          <t>Bank Transfer</t>
        </is>
      </c>
      <c r="J15" s="2" t="inlineStr">
        <is>
          <t>PMT-1036</t>
        </is>
      </c>
      <c r="K15" s="2" t="inlineStr">
        <is>
          <t>A. Mwansa</t>
        </is>
      </c>
      <c r="L15" s="2" t="inlineStr">
        <is>
          <t>A. Mwansa</t>
        </is>
      </c>
      <c r="M15" s="2" t="inlineStr">
        <is>
          <t>Yes</t>
        </is>
      </c>
    </row>
    <row r="16">
      <c r="A16" s="2" t="inlineStr">
        <is>
          <t>EXP-0015</t>
        </is>
      </c>
      <c r="B16" s="2" t="inlineStr">
        <is>
          <t>Overhead</t>
        </is>
      </c>
      <c r="C16" s="6" t="n">
        <v>46235</v>
      </c>
      <c r="D16" s="2" t="inlineStr">
        <is>
          <t>Utilities</t>
        </is>
      </c>
      <c r="E16" s="2" t="n"/>
      <c r="F16" s="2" t="n">
        <v>1</v>
      </c>
      <c r="G16" s="3" t="n">
        <v>3200</v>
      </c>
      <c r="H16" s="3">
        <f>ROUND($F16*$G16,2)</f>
        <v/>
      </c>
      <c r="I16" s="2" t="inlineStr">
        <is>
          <t>Bank Transfer</t>
        </is>
      </c>
      <c r="J16" s="2" t="inlineStr">
        <is>
          <t>PMT-1037</t>
        </is>
      </c>
      <c r="K16" s="2" t="inlineStr">
        <is>
          <t>A. Mwansa</t>
        </is>
      </c>
      <c r="L16" s="2" t="inlineStr">
        <is>
          <t>A. Mwansa</t>
        </is>
      </c>
      <c r="M16" s="2" t="inlineStr">
        <is>
          <t>Yes</t>
        </is>
      </c>
    </row>
  </sheetData>
  <dataValidations count="3">
    <dataValidation sqref="D2:D66" showDropDown="0" showInputMessage="0" showErrorMessage="0" allowBlank="0" type="list">
      <formula1>=List_ExpenseCategory</formula1>
    </dataValidation>
    <dataValidation sqref="E2:E66" showDropDown="0" showInputMessage="0" showErrorMessage="0" allowBlank="1" type="list">
      <formula1>=SupplierID_List</formula1>
    </dataValidation>
    <dataValidation sqref="I2:I66" showDropDown="0" showInputMessage="0" showErrorMessage="0" allowBlank="0" type="list">
      <formula1>=List_PaymentMethod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00548235"/>
    <outlinePr summaryBelow="1" summaryRight="1"/>
    <pageSetUpPr/>
  </sheetPr>
  <dimension ref="A1:I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0" customWidth="1" min="2" max="2"/>
    <col width="12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</cols>
  <sheetData>
    <row r="1">
      <c r="A1" s="5" t="inlineStr">
        <is>
          <t>EntryID</t>
        </is>
      </c>
      <c r="B1" s="5" t="inlineStr">
        <is>
          <t>HouseID</t>
        </is>
      </c>
      <c r="C1" s="5" t="inlineStr">
        <is>
          <t>Date</t>
        </is>
      </c>
      <c r="D1" s="5" t="inlineStr">
        <is>
          <t>Time</t>
        </is>
      </c>
      <c r="E1" s="5" t="inlineStr">
        <is>
          <t>TemperatureC</t>
        </is>
      </c>
      <c r="F1" s="5" t="inlineStr">
        <is>
          <t>HumidityPct</t>
        </is>
      </c>
      <c r="G1" s="5" t="inlineStr">
        <is>
          <t>AmmoniaPPM</t>
        </is>
      </c>
      <c r="H1" s="5" t="inlineStr">
        <is>
          <t>EnteredBy</t>
        </is>
      </c>
      <c r="I1" s="5" t="inlineStr">
        <is>
          <t>IsActive</t>
        </is>
      </c>
    </row>
    <row r="2">
      <c r="A2" s="2" t="inlineStr">
        <is>
          <t>ENV-0001</t>
        </is>
      </c>
      <c r="B2" s="2" t="n">
        <v>1</v>
      </c>
      <c r="C2" s="6" t="n">
        <v>46162</v>
      </c>
      <c r="D2" s="2" t="inlineStr">
        <is>
          <t>07:00</t>
        </is>
      </c>
      <c r="E2" s="9" t="n">
        <v>32</v>
      </c>
      <c r="F2" s="10" t="n">
        <v>62</v>
      </c>
      <c r="G2" s="10" t="n">
        <v>8</v>
      </c>
      <c r="H2" s="2" t="inlineStr">
        <is>
          <t>C. Banda</t>
        </is>
      </c>
      <c r="I2" s="2" t="inlineStr">
        <is>
          <t>Yes</t>
        </is>
      </c>
    </row>
    <row r="3">
      <c r="A3" s="2" t="inlineStr">
        <is>
          <t>ENV-0002</t>
        </is>
      </c>
      <c r="B3" s="2" t="n">
        <v>1</v>
      </c>
      <c r="C3" s="6" t="n">
        <v>46167</v>
      </c>
      <c r="D3" s="2" t="inlineStr">
        <is>
          <t>07:00</t>
        </is>
      </c>
      <c r="E3" s="9" t="n">
        <v>31.2</v>
      </c>
      <c r="F3" s="10" t="n">
        <v>62</v>
      </c>
      <c r="G3" s="10" t="n">
        <v>8</v>
      </c>
      <c r="H3" s="2" t="inlineStr">
        <is>
          <t>C. Banda</t>
        </is>
      </c>
      <c r="I3" s="2" t="inlineStr">
        <is>
          <t>Yes</t>
        </is>
      </c>
    </row>
    <row r="4">
      <c r="A4" s="2" t="inlineStr">
        <is>
          <t>ENV-0003</t>
        </is>
      </c>
      <c r="B4" s="2" t="n">
        <v>1</v>
      </c>
      <c r="C4" s="6" t="n">
        <v>46172</v>
      </c>
      <c r="D4" s="2" t="inlineStr">
        <is>
          <t>07:00</t>
        </is>
      </c>
      <c r="E4" s="9" t="n">
        <v>30.5</v>
      </c>
      <c r="F4" s="10" t="n">
        <v>62</v>
      </c>
      <c r="G4" s="10" t="n">
        <v>8</v>
      </c>
      <c r="H4" s="2" t="inlineStr">
        <is>
          <t>C. Banda</t>
        </is>
      </c>
      <c r="I4" s="2" t="inlineStr">
        <is>
          <t>Yes</t>
        </is>
      </c>
    </row>
    <row r="5">
      <c r="A5" s="2" t="inlineStr">
        <is>
          <t>ENV-0004</t>
        </is>
      </c>
      <c r="B5" s="2" t="n">
        <v>1</v>
      </c>
      <c r="C5" s="6" t="n">
        <v>46177</v>
      </c>
      <c r="D5" s="2" t="inlineStr">
        <is>
          <t>07:00</t>
        </is>
      </c>
      <c r="E5" s="9" t="n">
        <v>29.8</v>
      </c>
      <c r="F5" s="10" t="n">
        <v>62</v>
      </c>
      <c r="G5" s="10" t="n">
        <v>8</v>
      </c>
      <c r="H5" s="2" t="inlineStr">
        <is>
          <t>C. Banda</t>
        </is>
      </c>
      <c r="I5" s="2" t="inlineStr">
        <is>
          <t>Yes</t>
        </is>
      </c>
    </row>
    <row r="6">
      <c r="A6" s="2" t="inlineStr">
        <is>
          <t>ENV-0005</t>
        </is>
      </c>
      <c r="B6" s="2" t="n">
        <v>1</v>
      </c>
      <c r="C6" s="6" t="n">
        <v>46182</v>
      </c>
      <c r="D6" s="2" t="inlineStr">
        <is>
          <t>07:00</t>
        </is>
      </c>
      <c r="E6" s="9" t="n">
        <v>29</v>
      </c>
      <c r="F6" s="10" t="n">
        <v>62</v>
      </c>
      <c r="G6" s="10" t="n">
        <v>8</v>
      </c>
      <c r="H6" s="2" t="inlineStr">
        <is>
          <t>C. Banda</t>
        </is>
      </c>
      <c r="I6" s="2" t="inlineStr">
        <is>
          <t>Yes</t>
        </is>
      </c>
    </row>
    <row r="7">
      <c r="A7" s="2" t="inlineStr">
        <is>
          <t>ENV-0006</t>
        </is>
      </c>
      <c r="B7" s="2" t="n">
        <v>1</v>
      </c>
      <c r="C7" s="6" t="n">
        <v>46187</v>
      </c>
      <c r="D7" s="2" t="inlineStr">
        <is>
          <t>07:00</t>
        </is>
      </c>
      <c r="E7" s="9" t="n">
        <v>28.2</v>
      </c>
      <c r="F7" s="10" t="n">
        <v>62</v>
      </c>
      <c r="G7" s="10" t="n">
        <v>8</v>
      </c>
      <c r="H7" s="2" t="inlineStr">
        <is>
          <t>C. Banda</t>
        </is>
      </c>
      <c r="I7" s="2" t="inlineStr">
        <is>
          <t>Yes</t>
        </is>
      </c>
    </row>
    <row r="8">
      <c r="A8" s="2" t="inlineStr">
        <is>
          <t>ENV-0007</t>
        </is>
      </c>
      <c r="B8" s="2" t="n">
        <v>1</v>
      </c>
      <c r="C8" s="6" t="n">
        <v>46192</v>
      </c>
      <c r="D8" s="2" t="inlineStr">
        <is>
          <t>07:00</t>
        </is>
      </c>
      <c r="E8" s="9" t="n">
        <v>27.5</v>
      </c>
      <c r="F8" s="10" t="n">
        <v>62</v>
      </c>
      <c r="G8" s="10" t="n">
        <v>8</v>
      </c>
      <c r="H8" s="2" t="inlineStr">
        <is>
          <t>C. Banda</t>
        </is>
      </c>
      <c r="I8" s="2" t="inlineStr">
        <is>
          <t>Yes</t>
        </is>
      </c>
    </row>
    <row r="9">
      <c r="A9" s="2" t="inlineStr">
        <is>
          <t>ENV-0008</t>
        </is>
      </c>
      <c r="B9" s="2" t="n">
        <v>1</v>
      </c>
      <c r="C9" s="6" t="n">
        <v>46197</v>
      </c>
      <c r="D9" s="2" t="inlineStr">
        <is>
          <t>07:00</t>
        </is>
      </c>
      <c r="E9" s="9" t="n">
        <v>26.8</v>
      </c>
      <c r="F9" s="10" t="n">
        <v>62</v>
      </c>
      <c r="G9" s="10" t="n">
        <v>8</v>
      </c>
      <c r="H9" s="2" t="inlineStr">
        <is>
          <t>C. Banda</t>
        </is>
      </c>
      <c r="I9" s="2" t="inlineStr">
        <is>
          <t>Yes</t>
        </is>
      </c>
    </row>
    <row r="10">
      <c r="A10" s="2" t="inlineStr">
        <is>
          <t>ENV-0009</t>
        </is>
      </c>
      <c r="B10" s="2" t="n">
        <v>1</v>
      </c>
      <c r="C10" s="6" t="n">
        <v>46202</v>
      </c>
      <c r="D10" s="2" t="inlineStr">
        <is>
          <t>07:00</t>
        </is>
      </c>
      <c r="E10" s="9" t="n">
        <v>26</v>
      </c>
      <c r="F10" s="10" t="n">
        <v>62</v>
      </c>
      <c r="G10" s="10" t="n">
        <v>8</v>
      </c>
      <c r="H10" s="2" t="inlineStr">
        <is>
          <t>C. Banda</t>
        </is>
      </c>
      <c r="I10" s="2" t="inlineStr">
        <is>
          <t>Yes</t>
        </is>
      </c>
    </row>
    <row r="11">
      <c r="A11" s="2" t="inlineStr">
        <is>
          <t>ENV-0010</t>
        </is>
      </c>
      <c r="B11" s="2" t="n">
        <v>2</v>
      </c>
      <c r="C11" s="6" t="n">
        <v>46198</v>
      </c>
      <c r="D11" s="2" t="inlineStr">
        <is>
          <t>07:00</t>
        </is>
      </c>
      <c r="E11" s="9" t="n">
        <v>32</v>
      </c>
      <c r="F11" s="10" t="n">
        <v>62</v>
      </c>
      <c r="G11" s="10" t="n">
        <v>8</v>
      </c>
      <c r="H11" s="2" t="inlineStr">
        <is>
          <t>C. Banda</t>
        </is>
      </c>
      <c r="I11" s="2" t="inlineStr">
        <is>
          <t>Yes</t>
        </is>
      </c>
    </row>
    <row r="12">
      <c r="A12" s="2" t="inlineStr">
        <is>
          <t>ENV-0011</t>
        </is>
      </c>
      <c r="B12" s="2" t="n">
        <v>2</v>
      </c>
      <c r="C12" s="6" t="n">
        <v>46203</v>
      </c>
      <c r="D12" s="2" t="inlineStr">
        <is>
          <t>07:00</t>
        </is>
      </c>
      <c r="E12" s="9" t="n">
        <v>31.2</v>
      </c>
      <c r="F12" s="10" t="n">
        <v>62</v>
      </c>
      <c r="G12" s="10" t="n">
        <v>8</v>
      </c>
      <c r="H12" s="2" t="inlineStr">
        <is>
          <t>C. Banda</t>
        </is>
      </c>
      <c r="I12" s="2" t="inlineStr">
        <is>
          <t>Yes</t>
        </is>
      </c>
    </row>
    <row r="13">
      <c r="A13" s="2" t="inlineStr">
        <is>
          <t>ENV-0012</t>
        </is>
      </c>
      <c r="B13" s="2" t="n">
        <v>2</v>
      </c>
      <c r="C13" s="6" t="n">
        <v>46208</v>
      </c>
      <c r="D13" s="2" t="inlineStr">
        <is>
          <t>07:00</t>
        </is>
      </c>
      <c r="E13" s="9" t="n">
        <v>30.5</v>
      </c>
      <c r="F13" s="10" t="n">
        <v>62</v>
      </c>
      <c r="G13" s="10" t="n">
        <v>8</v>
      </c>
      <c r="H13" s="2" t="inlineStr">
        <is>
          <t>C. Banda</t>
        </is>
      </c>
      <c r="I13" s="2" t="inlineStr">
        <is>
          <t>Yes</t>
        </is>
      </c>
    </row>
    <row r="14">
      <c r="A14" s="2" t="inlineStr">
        <is>
          <t>ENV-0013</t>
        </is>
      </c>
      <c r="B14" s="2" t="n">
        <v>2</v>
      </c>
      <c r="C14" s="6" t="n">
        <v>46213</v>
      </c>
      <c r="D14" s="2" t="inlineStr">
        <is>
          <t>07:00</t>
        </is>
      </c>
      <c r="E14" s="9" t="n">
        <v>29.8</v>
      </c>
      <c r="F14" s="10" t="n">
        <v>62</v>
      </c>
      <c r="G14" s="10" t="n">
        <v>8</v>
      </c>
      <c r="H14" s="2" t="inlineStr">
        <is>
          <t>C. Banda</t>
        </is>
      </c>
      <c r="I14" s="2" t="inlineStr">
        <is>
          <t>Yes</t>
        </is>
      </c>
    </row>
    <row r="15">
      <c r="A15" s="2" t="inlineStr">
        <is>
          <t>ENV-0014</t>
        </is>
      </c>
      <c r="B15" s="2" t="n">
        <v>2</v>
      </c>
      <c r="C15" s="6" t="n">
        <v>46218</v>
      </c>
      <c r="D15" s="2" t="inlineStr">
        <is>
          <t>07:00</t>
        </is>
      </c>
      <c r="E15" s="9" t="n">
        <v>29</v>
      </c>
      <c r="F15" s="10" t="n">
        <v>62</v>
      </c>
      <c r="G15" s="10" t="n">
        <v>8</v>
      </c>
      <c r="H15" s="2" t="inlineStr">
        <is>
          <t>C. Banda</t>
        </is>
      </c>
      <c r="I15" s="2" t="inlineStr">
        <is>
          <t>Yes</t>
        </is>
      </c>
    </row>
    <row r="16">
      <c r="A16" s="2" t="inlineStr">
        <is>
          <t>ENV-0015</t>
        </is>
      </c>
      <c r="B16" s="2" t="n">
        <v>2</v>
      </c>
      <c r="C16" s="6" t="n">
        <v>46223</v>
      </c>
      <c r="D16" s="2" t="inlineStr">
        <is>
          <t>07:00</t>
        </is>
      </c>
      <c r="E16" s="9" t="n">
        <v>28.2</v>
      </c>
      <c r="F16" s="10" t="n">
        <v>62</v>
      </c>
      <c r="G16" s="10" t="n">
        <v>8</v>
      </c>
      <c r="H16" s="2" t="inlineStr">
        <is>
          <t>C. Banda</t>
        </is>
      </c>
      <c r="I16" s="2" t="inlineStr">
        <is>
          <t>Yes</t>
        </is>
      </c>
    </row>
    <row r="17">
      <c r="A17" s="2" t="inlineStr">
        <is>
          <t>ENV-0016</t>
        </is>
      </c>
      <c r="B17" s="2" t="n">
        <v>2</v>
      </c>
      <c r="C17" s="6" t="n">
        <v>46228</v>
      </c>
      <c r="D17" s="2" t="inlineStr">
        <is>
          <t>07:00</t>
        </is>
      </c>
      <c r="E17" s="9" t="n">
        <v>27.5</v>
      </c>
      <c r="F17" s="10" t="n">
        <v>62</v>
      </c>
      <c r="G17" s="10" t="n">
        <v>8</v>
      </c>
      <c r="H17" s="2" t="inlineStr">
        <is>
          <t>C. Banda</t>
        </is>
      </c>
      <c r="I17" s="2" t="inlineStr">
        <is>
          <t>Yes</t>
        </is>
      </c>
    </row>
    <row r="18">
      <c r="A18" s="2" t="inlineStr">
        <is>
          <t>ENV-0017</t>
        </is>
      </c>
      <c r="B18" s="2" t="n">
        <v>2</v>
      </c>
      <c r="C18" s="6" t="n">
        <v>46233</v>
      </c>
      <c r="D18" s="2" t="inlineStr">
        <is>
          <t>07:00</t>
        </is>
      </c>
      <c r="E18" s="9" t="n">
        <v>26.8</v>
      </c>
      <c r="F18" s="10" t="n">
        <v>62</v>
      </c>
      <c r="G18" s="10" t="n">
        <v>8</v>
      </c>
      <c r="H18" s="2" t="inlineStr">
        <is>
          <t>C. Banda</t>
        </is>
      </c>
      <c r="I18" s="2" t="inlineStr">
        <is>
          <t>Yes</t>
        </is>
      </c>
    </row>
    <row r="19">
      <c r="A19" s="2" t="inlineStr">
        <is>
          <t>ENV-0018</t>
        </is>
      </c>
      <c r="B19" s="2" t="n">
        <v>2</v>
      </c>
      <c r="C19" s="6" t="n">
        <v>46238</v>
      </c>
      <c r="D19" s="2" t="inlineStr">
        <is>
          <t>07:00</t>
        </is>
      </c>
      <c r="E19" s="9" t="n">
        <v>26</v>
      </c>
      <c r="F19" s="10" t="n">
        <v>62</v>
      </c>
      <c r="G19" s="10" t="n">
        <v>8</v>
      </c>
      <c r="H19" s="2" t="inlineStr">
        <is>
          <t>C. Banda</t>
        </is>
      </c>
      <c r="I19" s="2" t="inlineStr">
        <is>
          <t>Yes</t>
        </is>
      </c>
    </row>
    <row r="20">
      <c r="A20" s="2" t="inlineStr">
        <is>
          <t>ENV-0019</t>
        </is>
      </c>
      <c r="B20" s="2" t="n">
        <v>3</v>
      </c>
      <c r="C20" s="6" t="n">
        <v>46218</v>
      </c>
      <c r="D20" s="2" t="inlineStr">
        <is>
          <t>07:00</t>
        </is>
      </c>
      <c r="E20" s="9" t="n">
        <v>32</v>
      </c>
      <c r="F20" s="10" t="n">
        <v>62</v>
      </c>
      <c r="G20" s="10" t="n">
        <v>8</v>
      </c>
      <c r="H20" s="2" t="inlineStr">
        <is>
          <t>C. Banda</t>
        </is>
      </c>
      <c r="I20" s="2" t="inlineStr">
        <is>
          <t>Yes</t>
        </is>
      </c>
    </row>
    <row r="21">
      <c r="A21" s="2" t="inlineStr">
        <is>
          <t>ENV-0020</t>
        </is>
      </c>
      <c r="B21" s="2" t="n">
        <v>3</v>
      </c>
      <c r="C21" s="6" t="n">
        <v>46223</v>
      </c>
      <c r="D21" s="2" t="inlineStr">
        <is>
          <t>07:00</t>
        </is>
      </c>
      <c r="E21" s="9" t="n">
        <v>31.2</v>
      </c>
      <c r="F21" s="10" t="n">
        <v>62</v>
      </c>
      <c r="G21" s="10" t="n">
        <v>8</v>
      </c>
      <c r="H21" s="2" t="inlineStr">
        <is>
          <t>C. Banda</t>
        </is>
      </c>
      <c r="I21" s="2" t="inlineStr">
        <is>
          <t>Yes</t>
        </is>
      </c>
    </row>
    <row r="22">
      <c r="A22" s="2" t="inlineStr">
        <is>
          <t>ENV-0021</t>
        </is>
      </c>
      <c r="B22" s="2" t="n">
        <v>3</v>
      </c>
      <c r="C22" s="6" t="n">
        <v>46228</v>
      </c>
      <c r="D22" s="2" t="inlineStr">
        <is>
          <t>07:00</t>
        </is>
      </c>
      <c r="E22" s="9" t="n">
        <v>30.5</v>
      </c>
      <c r="F22" s="10" t="n">
        <v>62</v>
      </c>
      <c r="G22" s="10" t="n">
        <v>8</v>
      </c>
      <c r="H22" s="2" t="inlineStr">
        <is>
          <t>C. Banda</t>
        </is>
      </c>
      <c r="I22" s="2" t="inlineStr">
        <is>
          <t>Yes</t>
        </is>
      </c>
    </row>
    <row r="23">
      <c r="A23" s="2" t="inlineStr">
        <is>
          <t>ENV-0022</t>
        </is>
      </c>
      <c r="B23" s="2" t="n">
        <v>3</v>
      </c>
      <c r="C23" s="6" t="n">
        <v>46233</v>
      </c>
      <c r="D23" s="2" t="inlineStr">
        <is>
          <t>07:00</t>
        </is>
      </c>
      <c r="E23" s="9" t="n">
        <v>29.8</v>
      </c>
      <c r="F23" s="10" t="n">
        <v>62</v>
      </c>
      <c r="G23" s="10" t="n">
        <v>8</v>
      </c>
      <c r="H23" s="2" t="inlineStr">
        <is>
          <t>C. Banda</t>
        </is>
      </c>
      <c r="I23" s="2" t="inlineStr">
        <is>
          <t>Yes</t>
        </is>
      </c>
    </row>
    <row r="24">
      <c r="A24" s="2" t="inlineStr">
        <is>
          <t>ENV-0023</t>
        </is>
      </c>
      <c r="B24" s="2" t="n">
        <v>3</v>
      </c>
      <c r="C24" s="6" t="n">
        <v>46238</v>
      </c>
      <c r="D24" s="2" t="inlineStr">
        <is>
          <t>07:00</t>
        </is>
      </c>
      <c r="E24" s="9" t="n">
        <v>29</v>
      </c>
      <c r="F24" s="10" t="n">
        <v>62</v>
      </c>
      <c r="G24" s="10" t="n">
        <v>8</v>
      </c>
      <c r="H24" s="2" t="inlineStr">
        <is>
          <t>C. Banda</t>
        </is>
      </c>
      <c r="I24" s="2" t="inlineStr">
        <is>
          <t>Yes</t>
        </is>
      </c>
    </row>
    <row r="25">
      <c r="A25" s="2" t="inlineStr">
        <is>
          <t>ENV-0024</t>
        </is>
      </c>
      <c r="B25" s="2" t="n">
        <v>1</v>
      </c>
      <c r="C25" s="6" t="n">
        <v>46235</v>
      </c>
      <c r="D25" s="2" t="inlineStr">
        <is>
          <t>07:00</t>
        </is>
      </c>
      <c r="E25" s="9" t="n">
        <v>32</v>
      </c>
      <c r="F25" s="10" t="n">
        <v>62</v>
      </c>
      <c r="G25" s="10" t="n">
        <v>8</v>
      </c>
      <c r="H25" s="2" t="inlineStr">
        <is>
          <t>C. Banda</t>
        </is>
      </c>
      <c r="I25" s="2" t="inlineStr">
        <is>
          <t>Yes</t>
        </is>
      </c>
    </row>
    <row r="26">
      <c r="A26" s="2" t="inlineStr">
        <is>
          <t>ENV-0025</t>
        </is>
      </c>
      <c r="B26" s="2" t="n">
        <v>1</v>
      </c>
      <c r="C26" s="6" t="n">
        <v>46240</v>
      </c>
      <c r="D26" s="2" t="inlineStr">
        <is>
          <t>07:00</t>
        </is>
      </c>
      <c r="E26" s="9" t="n">
        <v>31.2</v>
      </c>
      <c r="F26" s="10" t="n">
        <v>62</v>
      </c>
      <c r="G26" s="10" t="n">
        <v>8</v>
      </c>
      <c r="H26" s="2" t="inlineStr">
        <is>
          <t>C. Banda</t>
        </is>
      </c>
      <c r="I26" s="2" t="inlineStr">
        <is>
          <t>Yes</t>
        </is>
      </c>
    </row>
  </sheetData>
  <dataValidations count="1">
    <dataValidation sqref="B2:B76" showDropDown="0" showInputMessage="0" showErrorMessage="0" allowBlank="0" type="list">
      <formula1>=HouseID_List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00548235"/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8" customWidth="1" min="3" max="3"/>
    <col width="30" customWidth="1" min="4" max="4"/>
    <col width="14" customWidth="1" min="5" max="5"/>
    <col width="16" customWidth="1" min="6" max="6"/>
    <col width="14" customWidth="1" min="7" max="7"/>
    <col width="10" customWidth="1" min="8" max="8"/>
  </cols>
  <sheetData>
    <row r="1">
      <c r="A1" s="5" t="inlineStr">
        <is>
          <t>EntryID</t>
        </is>
      </c>
      <c r="B1" s="5" t="inlineStr">
        <is>
          <t>Date</t>
        </is>
      </c>
      <c r="C1" s="5" t="inlineStr">
        <is>
          <t>Source</t>
        </is>
      </c>
      <c r="D1" s="5" t="inlineStr">
        <is>
          <t>Description</t>
        </is>
      </c>
      <c r="E1" s="5" t="inlineStr">
        <is>
          <t>Amount_ZMW</t>
        </is>
      </c>
      <c r="F1" s="5" t="inlineStr">
        <is>
          <t>PaymentMethod</t>
        </is>
      </c>
      <c r="G1" s="5" t="inlineStr">
        <is>
          <t>ReceivedBy</t>
        </is>
      </c>
      <c r="H1" s="5" t="inlineStr">
        <is>
          <t>IsActive</t>
        </is>
      </c>
    </row>
    <row r="2">
      <c r="A2" s="2" t="inlineStr">
        <is>
          <t>INC-0001</t>
        </is>
      </c>
      <c r="B2" s="6" t="n">
        <v>46225</v>
      </c>
      <c r="C2" s="2" t="inlineStr">
        <is>
          <t>Manure Sales</t>
        </is>
      </c>
      <c r="D2" s="2" t="inlineStr">
        <is>
          <t>Sold manure from House 1</t>
        </is>
      </c>
      <c r="E2" s="3" t="n">
        <v>450</v>
      </c>
      <c r="F2" s="2" t="inlineStr">
        <is>
          <t>Cash</t>
        </is>
      </c>
      <c r="G2" s="2" t="inlineStr">
        <is>
          <t>G. Tembo</t>
        </is>
      </c>
      <c r="H2" s="2" t="inlineStr">
        <is>
          <t>Yes</t>
        </is>
      </c>
    </row>
    <row r="3">
      <c r="A3" s="2" t="inlineStr">
        <is>
          <t>INC-0002</t>
        </is>
      </c>
      <c r="B3" s="6" t="n">
        <v>46235</v>
      </c>
      <c r="C3" s="2" t="inlineStr">
        <is>
          <t>Empty Bag Sales</t>
        </is>
      </c>
      <c r="D3" s="2" t="inlineStr">
        <is>
          <t>Sold used feed bags</t>
        </is>
      </c>
      <c r="E3" s="3" t="n">
        <v>120</v>
      </c>
      <c r="F3" s="2" t="inlineStr">
        <is>
          <t>Cash</t>
        </is>
      </c>
      <c r="G3" s="2" t="inlineStr">
        <is>
          <t>G. Tembo</t>
        </is>
      </c>
      <c r="H3" s="2" t="inlineStr">
        <is>
          <t>Yes</t>
        </is>
      </c>
    </row>
    <row r="4">
      <c r="A4" s="2" t="inlineStr">
        <is>
          <t>INC-0003</t>
        </is>
      </c>
      <c r="B4" s="6" t="n">
        <v>46239</v>
      </c>
      <c r="C4" s="2" t="inlineStr">
        <is>
          <t>Manure Sales</t>
        </is>
      </c>
      <c r="D4" s="2" t="inlineStr">
        <is>
          <t>Sold manure from House 2</t>
        </is>
      </c>
      <c r="E4" s="3" t="n">
        <v>380</v>
      </c>
      <c r="F4" s="2" t="inlineStr">
        <is>
          <t>Mobile Money</t>
        </is>
      </c>
      <c r="G4" s="2" t="inlineStr">
        <is>
          <t>G. Tembo</t>
        </is>
      </c>
      <c r="H4" s="2" t="inlineStr">
        <is>
          <t>Yes</t>
        </is>
      </c>
    </row>
  </sheetData>
  <dataValidations count="2">
    <dataValidation sqref="C2:C54" showDropDown="0" showInputMessage="0" showErrorMessage="0" allowBlank="0" type="list">
      <formula1>Manure Sales,Empty Bag Sales,Equipment Rental,Other</formula1>
    </dataValidation>
    <dataValidation sqref="F2:F54" showDropDown="0" showInputMessage="0" showErrorMessage="0" allowBlank="0" type="list">
      <formula1>=List_PaymentMethod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tabColor rgb="00BF8F00"/>
    <outlinePr summaryBelow="1" summaryRight="1"/>
    <pageSetUpPr/>
  </sheetPr>
  <dimension ref="A1:X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13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6" customWidth="1" min="12" max="12"/>
    <col width="14" customWidth="1" min="13" max="13"/>
    <col width="16" customWidth="1" min="14" max="14"/>
    <col width="8" customWidth="1" min="15" max="15"/>
    <col width="8" customWidth="1" min="16" max="16"/>
    <col width="16" customWidth="1" min="17" max="17"/>
    <col width="16" customWidth="1" min="18" max="18"/>
    <col width="16" customWidth="1" min="19" max="19"/>
    <col width="12" customWidth="1" min="20" max="20"/>
    <col width="16" customWidth="1" min="21" max="21"/>
    <col width="16" customWidth="1" min="22" max="22"/>
    <col width="16" customWidth="1" min="23" max="23"/>
    <col width="20" customWidth="1" min="24" max="24"/>
  </cols>
  <sheetData>
    <row r="1">
      <c r="A1" s="11" t="inlineStr">
        <is>
          <t>FlockID</t>
        </is>
      </c>
      <c r="B1" s="11" t="inlineStr">
        <is>
          <t>HouseCode</t>
        </is>
      </c>
      <c r="C1" s="11" t="inlineStr">
        <is>
          <t>BreedName</t>
        </is>
      </c>
      <c r="D1" s="11" t="inlineStr">
        <is>
          <t>PlacedDate</t>
        </is>
      </c>
      <c r="E1" s="11" t="inlineStr">
        <is>
          <t>Status</t>
        </is>
      </c>
      <c r="F1" s="11" t="inlineStr">
        <is>
          <t>DaysOnFarm</t>
        </is>
      </c>
      <c r="G1" s="11" t="inlineStr">
        <is>
          <t>InitialBirds</t>
        </is>
      </c>
      <c r="H1" s="11" t="inlineStr">
        <is>
          <t>TotalMortality</t>
        </is>
      </c>
      <c r="I1" s="11" t="inlineStr">
        <is>
          <t>CurrentBirds</t>
        </is>
      </c>
      <c r="J1" s="11" t="inlineStr">
        <is>
          <t>LivabilityPct</t>
        </is>
      </c>
      <c r="K1" s="11" t="inlineStr">
        <is>
          <t>TotalFeedKg</t>
        </is>
      </c>
      <c r="L1" s="11" t="inlineStr">
        <is>
          <t>TotalFeedCost_ZMW</t>
        </is>
      </c>
      <c r="M1" s="11" t="inlineStr">
        <is>
          <t>LatestWeightDate</t>
        </is>
      </c>
      <c r="N1" s="11" t="inlineStr">
        <is>
          <t>LatestAvgWeightG</t>
        </is>
      </c>
      <c r="O1" s="11" t="inlineStr">
        <is>
          <t>FCR</t>
        </is>
      </c>
      <c r="P1" s="11" t="inlineStr">
        <is>
          <t>ADG_g</t>
        </is>
      </c>
      <c r="Q1" s="11" t="inlineStr">
        <is>
          <t>TotalExpenses_ZMW</t>
        </is>
      </c>
      <c r="R1" s="11" t="inlineStr">
        <is>
          <t>MedicineCost_ZMW</t>
        </is>
      </c>
      <c r="S1" s="11" t="inlineStr">
        <is>
          <t>TotalSalesValue_ZMW</t>
        </is>
      </c>
      <c r="T1" s="11" t="inlineStr">
        <is>
          <t>BirdsSold</t>
        </is>
      </c>
      <c r="U1" s="11" t="inlineStr">
        <is>
          <t>CostPerBird_ZMW</t>
        </is>
      </c>
      <c r="V1" s="11" t="inlineStr">
        <is>
          <t>CostPerKg_ZMW</t>
        </is>
      </c>
      <c r="W1" s="11" t="inlineStr">
        <is>
          <t>EstimatedProfit_ZMW</t>
        </is>
      </c>
      <c r="X1" s="11" t="inlineStr">
        <is>
          <t>BreakEvenPricePerBird_ZMW</t>
        </is>
      </c>
    </row>
    <row r="2">
      <c r="A2" s="2">
        <f>IFERROR(INDEX(reg_Flocks[FlockID],ROW()-1),"")</f>
        <v/>
      </c>
      <c r="B2" s="2">
        <f>IF($A2="","",IFERROR(INDEX(mst_Houses[HouseCode],MATCH(INDEX(reg_Flocks[HouseID],MATCH($A2,reg_Flocks[FlockID],0)),mst_Houses[HouseID],0)),""))</f>
        <v/>
      </c>
      <c r="C2" s="2">
        <f>IF($A2="","",IFERROR(INDEX(mst_Breeds[BreedName],MATCH(INDEX(reg_Flocks[BreedID],MATCH($A2,reg_Flocks[FlockID],0)),mst_Breeds[BreedID],0)),""))</f>
        <v/>
      </c>
      <c r="D2" s="6">
        <f>IF($A2="","",INDEX(reg_Flocks[PlacedDate],MATCH($A2,reg_Flocks[FlockID],0)))</f>
        <v/>
      </c>
      <c r="E2" s="2">
        <f>IF($A2="","",INDEX(reg_Flocks[Status],MATCH($A2,reg_Flocks[FlockID],0)))</f>
        <v/>
      </c>
      <c r="F2" s="7">
        <f>IF($A2="","",TODAY()-$D2)</f>
        <v/>
      </c>
      <c r="G2" s="7">
        <f>IF($A2="","",INDEX(reg_Flocks[InitialBirdCount],MATCH($A2,reg_Flocks[FlockID],0)))</f>
        <v/>
      </c>
      <c r="H2" s="7">
        <f>IF($A2="","",SUMIFS(reg_DailyMortality[MortalityCount],reg_DailyMortality[FlockID],$A2))</f>
        <v/>
      </c>
      <c r="I2" s="7">
        <f>IF($A2="","",$G2-$H2)</f>
        <v/>
      </c>
      <c r="J2" s="12">
        <f>IF($A2="","",IFERROR($I2/$G2,0))</f>
        <v/>
      </c>
      <c r="K2" s="7">
        <f>IF($A2="","",SUMIFS(reg_FeedConsumption[KgUsed],reg_FeedConsumption[FlockID],$A2))</f>
        <v/>
      </c>
      <c r="L2" s="3">
        <f>IF($A2="","",SUMIFS(reg_FeedConsumption[CostZMW],reg_FeedConsumption[FlockID],$A2))</f>
        <v/>
      </c>
      <c r="M2" s="6">
        <f>IF($A2="","",IFERROR(_xlfn.MAXIFS(reg_WeeklyWeights[Date],reg_WeeklyWeights[FlockID],$A2),""))</f>
        <v/>
      </c>
      <c r="N2" s="7">
        <f>IF($A2="","",IFERROR(SUMIFS(reg_WeeklyWeights[AvgBodyWeightG],reg_WeeklyWeights[FlockID],$A2,reg_WeeklyWeights[Date],$M2),0))</f>
        <v/>
      </c>
      <c r="O2" s="13">
        <f>IF($A2="","",IFERROR($K2/($I2*$N2/1000),0))</f>
        <v/>
      </c>
      <c r="P2" s="9">
        <f>IF($A2="","",IFERROR($N2/$F2,0))</f>
        <v/>
      </c>
      <c r="Q2" s="3">
        <f>IF($A2="","",SUMIFS(reg_Expenses[Amount_ZMW],reg_Expenses[FlockID],$A2))</f>
        <v/>
      </c>
      <c r="R2" s="3">
        <f>IF($A2="","",SUMIFS(reg_MedicineStock[TotalCost_ZMW],reg_MedicineStock[FlockID],$A2))</f>
        <v/>
      </c>
      <c r="S2" s="3">
        <f>IF($A2="","",SUMIFS(reg_Sales_Dispatch[TotalValue_ZMW],reg_Sales_Dispatch[FlockID],$A2))</f>
        <v/>
      </c>
      <c r="T2" s="7">
        <f>IF($A2="","",SUMIFS(reg_Sales_Dispatch[BirdsDispatched],reg_Sales_Dispatch[FlockID],$A2))</f>
        <v/>
      </c>
      <c r="U2" s="3">
        <f>IF($A2="","",IFERROR(($Q2+$L2+$R2)/$G2,0))</f>
        <v/>
      </c>
      <c r="V2" s="3">
        <f>IF($A2="","",IFERROR(($Q2+$L2+$R2)/($I2*$N2/1000),0))</f>
        <v/>
      </c>
      <c r="W2" s="3">
        <f>IF($A2="","",$S2-$Q2-$L2-$R2)</f>
        <v/>
      </c>
      <c r="X2" s="3">
        <f>IF($A2="","",IFERROR(($Q2+$L2+$R2)/IF($T2&gt;0,$T2,$G2),0))</f>
        <v/>
      </c>
    </row>
    <row r="3">
      <c r="A3" s="2">
        <f>IFERROR(INDEX(reg_Flocks[FlockID],ROW()-1),"")</f>
        <v/>
      </c>
      <c r="B3" s="2">
        <f>IF($A3="","",IFERROR(INDEX(mst_Houses[HouseCode],MATCH(INDEX(reg_Flocks[HouseID],MATCH($A3,reg_Flocks[FlockID],0)),mst_Houses[HouseID],0)),""))</f>
        <v/>
      </c>
      <c r="C3" s="2">
        <f>IF($A3="","",IFERROR(INDEX(mst_Breeds[BreedName],MATCH(INDEX(reg_Flocks[BreedID],MATCH($A3,reg_Flocks[FlockID],0)),mst_Breeds[BreedID],0)),""))</f>
        <v/>
      </c>
      <c r="D3" s="6">
        <f>IF($A3="","",INDEX(reg_Flocks[PlacedDate],MATCH($A3,reg_Flocks[FlockID],0)))</f>
        <v/>
      </c>
      <c r="E3" s="2">
        <f>IF($A3="","",INDEX(reg_Flocks[Status],MATCH($A3,reg_Flocks[FlockID],0)))</f>
        <v/>
      </c>
      <c r="F3" s="7">
        <f>IF($A3="","",TODAY()-$D3)</f>
        <v/>
      </c>
      <c r="G3" s="7">
        <f>IF($A3="","",INDEX(reg_Flocks[InitialBirdCount],MATCH($A3,reg_Flocks[FlockID],0)))</f>
        <v/>
      </c>
      <c r="H3" s="7">
        <f>IF($A3="","",SUMIFS(reg_DailyMortality[MortalityCount],reg_DailyMortality[FlockID],$A3))</f>
        <v/>
      </c>
      <c r="I3" s="7">
        <f>IF($A3="","",$G3-$H3)</f>
        <v/>
      </c>
      <c r="J3" s="12">
        <f>IF($A3="","",IFERROR($I3/$G3,0))</f>
        <v/>
      </c>
      <c r="K3" s="7">
        <f>IF($A3="","",SUMIFS(reg_FeedConsumption[KgUsed],reg_FeedConsumption[FlockID],$A3))</f>
        <v/>
      </c>
      <c r="L3" s="3">
        <f>IF($A3="","",SUMIFS(reg_FeedConsumption[CostZMW],reg_FeedConsumption[FlockID],$A3))</f>
        <v/>
      </c>
      <c r="M3" s="6">
        <f>IF($A3="","",IFERROR(_xlfn.MAXIFS(reg_WeeklyWeights[Date],reg_WeeklyWeights[FlockID],$A3),""))</f>
        <v/>
      </c>
      <c r="N3" s="7">
        <f>IF($A3="","",IFERROR(SUMIFS(reg_WeeklyWeights[AvgBodyWeightG],reg_WeeklyWeights[FlockID],$A3,reg_WeeklyWeights[Date],$M3),0))</f>
        <v/>
      </c>
      <c r="O3" s="13">
        <f>IF($A3="","",IFERROR($K3/($I3*$N3/1000),0))</f>
        <v/>
      </c>
      <c r="P3" s="9">
        <f>IF($A3="","",IFERROR($N3/$F3,0))</f>
        <v/>
      </c>
      <c r="Q3" s="3">
        <f>IF($A3="","",SUMIFS(reg_Expenses[Amount_ZMW],reg_Expenses[FlockID],$A3))</f>
        <v/>
      </c>
      <c r="R3" s="3">
        <f>IF($A3="","",SUMIFS(reg_MedicineStock[TotalCost_ZMW],reg_MedicineStock[FlockID],$A3))</f>
        <v/>
      </c>
      <c r="S3" s="3">
        <f>IF($A3="","",SUMIFS(reg_Sales_Dispatch[TotalValue_ZMW],reg_Sales_Dispatch[FlockID],$A3))</f>
        <v/>
      </c>
      <c r="T3" s="7">
        <f>IF($A3="","",SUMIFS(reg_Sales_Dispatch[BirdsDispatched],reg_Sales_Dispatch[FlockID],$A3))</f>
        <v/>
      </c>
      <c r="U3" s="3">
        <f>IF($A3="","",IFERROR(($Q3+$L3+$R3)/$G3,0))</f>
        <v/>
      </c>
      <c r="V3" s="3">
        <f>IF($A3="","",IFERROR(($Q3+$L3+$R3)/($I3*$N3/1000),0))</f>
        <v/>
      </c>
      <c r="W3" s="3">
        <f>IF($A3="","",$S3-$Q3-$L3-$R3)</f>
        <v/>
      </c>
      <c r="X3" s="3">
        <f>IF($A3="","",IFERROR(($Q3+$L3+$R3)/IF($T3&gt;0,$T3,$G3),0))</f>
        <v/>
      </c>
    </row>
    <row r="4">
      <c r="A4" s="2">
        <f>IFERROR(INDEX(reg_Flocks[FlockID],ROW()-1),"")</f>
        <v/>
      </c>
      <c r="B4" s="2">
        <f>IF($A4="","",IFERROR(INDEX(mst_Houses[HouseCode],MATCH(INDEX(reg_Flocks[HouseID],MATCH($A4,reg_Flocks[FlockID],0)),mst_Houses[HouseID],0)),""))</f>
        <v/>
      </c>
      <c r="C4" s="2">
        <f>IF($A4="","",IFERROR(INDEX(mst_Breeds[BreedName],MATCH(INDEX(reg_Flocks[BreedID],MATCH($A4,reg_Flocks[FlockID],0)),mst_Breeds[BreedID],0)),""))</f>
        <v/>
      </c>
      <c r="D4" s="6">
        <f>IF($A4="","",INDEX(reg_Flocks[PlacedDate],MATCH($A4,reg_Flocks[FlockID],0)))</f>
        <v/>
      </c>
      <c r="E4" s="2">
        <f>IF($A4="","",INDEX(reg_Flocks[Status],MATCH($A4,reg_Flocks[FlockID],0)))</f>
        <v/>
      </c>
      <c r="F4" s="7">
        <f>IF($A4="","",TODAY()-$D4)</f>
        <v/>
      </c>
      <c r="G4" s="7">
        <f>IF($A4="","",INDEX(reg_Flocks[InitialBirdCount],MATCH($A4,reg_Flocks[FlockID],0)))</f>
        <v/>
      </c>
      <c r="H4" s="7">
        <f>IF($A4="","",SUMIFS(reg_DailyMortality[MortalityCount],reg_DailyMortality[FlockID],$A4))</f>
        <v/>
      </c>
      <c r="I4" s="7">
        <f>IF($A4="","",$G4-$H4)</f>
        <v/>
      </c>
      <c r="J4" s="12">
        <f>IF($A4="","",IFERROR($I4/$G4,0))</f>
        <v/>
      </c>
      <c r="K4" s="7">
        <f>IF($A4="","",SUMIFS(reg_FeedConsumption[KgUsed],reg_FeedConsumption[FlockID],$A4))</f>
        <v/>
      </c>
      <c r="L4" s="3">
        <f>IF($A4="","",SUMIFS(reg_FeedConsumption[CostZMW],reg_FeedConsumption[FlockID],$A4))</f>
        <v/>
      </c>
      <c r="M4" s="6">
        <f>IF($A4="","",IFERROR(_xlfn.MAXIFS(reg_WeeklyWeights[Date],reg_WeeklyWeights[FlockID],$A4),""))</f>
        <v/>
      </c>
      <c r="N4" s="7">
        <f>IF($A4="","",IFERROR(SUMIFS(reg_WeeklyWeights[AvgBodyWeightG],reg_WeeklyWeights[FlockID],$A4,reg_WeeklyWeights[Date],$M4),0))</f>
        <v/>
      </c>
      <c r="O4" s="13">
        <f>IF($A4="","",IFERROR($K4/($I4*$N4/1000),0))</f>
        <v/>
      </c>
      <c r="P4" s="9">
        <f>IF($A4="","",IFERROR($N4/$F4,0))</f>
        <v/>
      </c>
      <c r="Q4" s="3">
        <f>IF($A4="","",SUMIFS(reg_Expenses[Amount_ZMW],reg_Expenses[FlockID],$A4))</f>
        <v/>
      </c>
      <c r="R4" s="3">
        <f>IF($A4="","",SUMIFS(reg_MedicineStock[TotalCost_ZMW],reg_MedicineStock[FlockID],$A4))</f>
        <v/>
      </c>
      <c r="S4" s="3">
        <f>IF($A4="","",SUMIFS(reg_Sales_Dispatch[TotalValue_ZMW],reg_Sales_Dispatch[FlockID],$A4))</f>
        <v/>
      </c>
      <c r="T4" s="7">
        <f>IF($A4="","",SUMIFS(reg_Sales_Dispatch[BirdsDispatched],reg_Sales_Dispatch[FlockID],$A4))</f>
        <v/>
      </c>
      <c r="U4" s="3">
        <f>IF($A4="","",IFERROR(($Q4+$L4+$R4)/$G4,0))</f>
        <v/>
      </c>
      <c r="V4" s="3">
        <f>IF($A4="","",IFERROR(($Q4+$L4+$R4)/($I4*$N4/1000),0))</f>
        <v/>
      </c>
      <c r="W4" s="3">
        <f>IF($A4="","",$S4-$Q4-$L4-$R4)</f>
        <v/>
      </c>
      <c r="X4" s="3">
        <f>IF($A4="","",IFERROR(($Q4+$L4+$R4)/IF($T4&gt;0,$T4,$G4),0))</f>
        <v/>
      </c>
    </row>
    <row r="5">
      <c r="A5" s="2">
        <f>IFERROR(INDEX(reg_Flocks[FlockID],ROW()-1),"")</f>
        <v/>
      </c>
      <c r="B5" s="2">
        <f>IF($A5="","",IFERROR(INDEX(mst_Houses[HouseCode],MATCH(INDEX(reg_Flocks[HouseID],MATCH($A5,reg_Flocks[FlockID],0)),mst_Houses[HouseID],0)),""))</f>
        <v/>
      </c>
      <c r="C5" s="2">
        <f>IF($A5="","",IFERROR(INDEX(mst_Breeds[BreedName],MATCH(INDEX(reg_Flocks[BreedID],MATCH($A5,reg_Flocks[FlockID],0)),mst_Breeds[BreedID],0)),""))</f>
        <v/>
      </c>
      <c r="D5" s="6">
        <f>IF($A5="","",INDEX(reg_Flocks[PlacedDate],MATCH($A5,reg_Flocks[FlockID],0)))</f>
        <v/>
      </c>
      <c r="E5" s="2">
        <f>IF($A5="","",INDEX(reg_Flocks[Status],MATCH($A5,reg_Flocks[FlockID],0)))</f>
        <v/>
      </c>
      <c r="F5" s="7">
        <f>IF($A5="","",TODAY()-$D5)</f>
        <v/>
      </c>
      <c r="G5" s="7">
        <f>IF($A5="","",INDEX(reg_Flocks[InitialBirdCount],MATCH($A5,reg_Flocks[FlockID],0)))</f>
        <v/>
      </c>
      <c r="H5" s="7">
        <f>IF($A5="","",SUMIFS(reg_DailyMortality[MortalityCount],reg_DailyMortality[FlockID],$A5))</f>
        <v/>
      </c>
      <c r="I5" s="7">
        <f>IF($A5="","",$G5-$H5)</f>
        <v/>
      </c>
      <c r="J5" s="12">
        <f>IF($A5="","",IFERROR($I5/$G5,0))</f>
        <v/>
      </c>
      <c r="K5" s="7">
        <f>IF($A5="","",SUMIFS(reg_FeedConsumption[KgUsed],reg_FeedConsumption[FlockID],$A5))</f>
        <v/>
      </c>
      <c r="L5" s="3">
        <f>IF($A5="","",SUMIFS(reg_FeedConsumption[CostZMW],reg_FeedConsumption[FlockID],$A5))</f>
        <v/>
      </c>
      <c r="M5" s="6">
        <f>IF($A5="","",IFERROR(_xlfn.MAXIFS(reg_WeeklyWeights[Date],reg_WeeklyWeights[FlockID],$A5),""))</f>
        <v/>
      </c>
      <c r="N5" s="7">
        <f>IF($A5="","",IFERROR(SUMIFS(reg_WeeklyWeights[AvgBodyWeightG],reg_WeeklyWeights[FlockID],$A5,reg_WeeklyWeights[Date],$M5),0))</f>
        <v/>
      </c>
      <c r="O5" s="13">
        <f>IF($A5="","",IFERROR($K5/($I5*$N5/1000),0))</f>
        <v/>
      </c>
      <c r="P5" s="9">
        <f>IF($A5="","",IFERROR($N5/$F5,0))</f>
        <v/>
      </c>
      <c r="Q5" s="3">
        <f>IF($A5="","",SUMIFS(reg_Expenses[Amount_ZMW],reg_Expenses[FlockID],$A5))</f>
        <v/>
      </c>
      <c r="R5" s="3">
        <f>IF($A5="","",SUMIFS(reg_MedicineStock[TotalCost_ZMW],reg_MedicineStock[FlockID],$A5))</f>
        <v/>
      </c>
      <c r="S5" s="3">
        <f>IF($A5="","",SUMIFS(reg_Sales_Dispatch[TotalValue_ZMW],reg_Sales_Dispatch[FlockID],$A5))</f>
        <v/>
      </c>
      <c r="T5" s="7">
        <f>IF($A5="","",SUMIFS(reg_Sales_Dispatch[BirdsDispatched],reg_Sales_Dispatch[FlockID],$A5))</f>
        <v/>
      </c>
      <c r="U5" s="3">
        <f>IF($A5="","",IFERROR(($Q5+$L5+$R5)/$G5,0))</f>
        <v/>
      </c>
      <c r="V5" s="3">
        <f>IF($A5="","",IFERROR(($Q5+$L5+$R5)/($I5*$N5/1000),0))</f>
        <v/>
      </c>
      <c r="W5" s="3">
        <f>IF($A5="","",$S5-$Q5-$L5-$R5)</f>
        <v/>
      </c>
      <c r="X5" s="3">
        <f>IF($A5="","",IFERROR(($Q5+$L5+$R5)/IF($T5&gt;0,$T5,$G5),0))</f>
        <v/>
      </c>
    </row>
    <row r="6">
      <c r="A6" s="2">
        <f>IFERROR(INDEX(reg_Flocks[FlockID],ROW()-1),"")</f>
        <v/>
      </c>
      <c r="B6" s="2">
        <f>IF($A6="","",IFERROR(INDEX(mst_Houses[HouseCode],MATCH(INDEX(reg_Flocks[HouseID],MATCH($A6,reg_Flocks[FlockID],0)),mst_Houses[HouseID],0)),""))</f>
        <v/>
      </c>
      <c r="C6" s="2">
        <f>IF($A6="","",IFERROR(INDEX(mst_Breeds[BreedName],MATCH(INDEX(reg_Flocks[BreedID],MATCH($A6,reg_Flocks[FlockID],0)),mst_Breeds[BreedID],0)),""))</f>
        <v/>
      </c>
      <c r="D6" s="6">
        <f>IF($A6="","",INDEX(reg_Flocks[PlacedDate],MATCH($A6,reg_Flocks[FlockID],0)))</f>
        <v/>
      </c>
      <c r="E6" s="2">
        <f>IF($A6="","",INDEX(reg_Flocks[Status],MATCH($A6,reg_Flocks[FlockID],0)))</f>
        <v/>
      </c>
      <c r="F6" s="7">
        <f>IF($A6="","",TODAY()-$D6)</f>
        <v/>
      </c>
      <c r="G6" s="7">
        <f>IF($A6="","",INDEX(reg_Flocks[InitialBirdCount],MATCH($A6,reg_Flocks[FlockID],0)))</f>
        <v/>
      </c>
      <c r="H6" s="7">
        <f>IF($A6="","",SUMIFS(reg_DailyMortality[MortalityCount],reg_DailyMortality[FlockID],$A6))</f>
        <v/>
      </c>
      <c r="I6" s="7">
        <f>IF($A6="","",$G6-$H6)</f>
        <v/>
      </c>
      <c r="J6" s="12">
        <f>IF($A6="","",IFERROR($I6/$G6,0))</f>
        <v/>
      </c>
      <c r="K6" s="7">
        <f>IF($A6="","",SUMIFS(reg_FeedConsumption[KgUsed],reg_FeedConsumption[FlockID],$A6))</f>
        <v/>
      </c>
      <c r="L6" s="3">
        <f>IF($A6="","",SUMIFS(reg_FeedConsumption[CostZMW],reg_FeedConsumption[FlockID],$A6))</f>
        <v/>
      </c>
      <c r="M6" s="6">
        <f>IF($A6="","",IFERROR(_xlfn.MAXIFS(reg_WeeklyWeights[Date],reg_WeeklyWeights[FlockID],$A6),""))</f>
        <v/>
      </c>
      <c r="N6" s="7">
        <f>IF($A6="","",IFERROR(SUMIFS(reg_WeeklyWeights[AvgBodyWeightG],reg_WeeklyWeights[FlockID],$A6,reg_WeeklyWeights[Date],$M6),0))</f>
        <v/>
      </c>
      <c r="O6" s="13">
        <f>IF($A6="","",IFERROR($K6/($I6*$N6/1000),0))</f>
        <v/>
      </c>
      <c r="P6" s="9">
        <f>IF($A6="","",IFERROR($N6/$F6,0))</f>
        <v/>
      </c>
      <c r="Q6" s="3">
        <f>IF($A6="","",SUMIFS(reg_Expenses[Amount_ZMW],reg_Expenses[FlockID],$A6))</f>
        <v/>
      </c>
      <c r="R6" s="3">
        <f>IF($A6="","",SUMIFS(reg_MedicineStock[TotalCost_ZMW],reg_MedicineStock[FlockID],$A6))</f>
        <v/>
      </c>
      <c r="S6" s="3">
        <f>IF($A6="","",SUMIFS(reg_Sales_Dispatch[TotalValue_ZMW],reg_Sales_Dispatch[FlockID],$A6))</f>
        <v/>
      </c>
      <c r="T6" s="7">
        <f>IF($A6="","",SUMIFS(reg_Sales_Dispatch[BirdsDispatched],reg_Sales_Dispatch[FlockID],$A6))</f>
        <v/>
      </c>
      <c r="U6" s="3">
        <f>IF($A6="","",IFERROR(($Q6+$L6+$R6)/$G6,0))</f>
        <v/>
      </c>
      <c r="V6" s="3">
        <f>IF($A6="","",IFERROR(($Q6+$L6+$R6)/($I6*$N6/1000),0))</f>
        <v/>
      </c>
      <c r="W6" s="3">
        <f>IF($A6="","",$S6-$Q6-$L6-$R6)</f>
        <v/>
      </c>
      <c r="X6" s="3">
        <f>IF($A6="","",IFERROR(($Q6+$L6+$R6)/IF($T6&gt;0,$T6,$G6),0))</f>
        <v/>
      </c>
    </row>
    <row r="7">
      <c r="A7" s="2">
        <f>IFERROR(INDEX(reg_Flocks[FlockID],ROW()-1),"")</f>
        <v/>
      </c>
      <c r="B7" s="2">
        <f>IF($A7="","",IFERROR(INDEX(mst_Houses[HouseCode],MATCH(INDEX(reg_Flocks[HouseID],MATCH($A7,reg_Flocks[FlockID],0)),mst_Houses[HouseID],0)),""))</f>
        <v/>
      </c>
      <c r="C7" s="2">
        <f>IF($A7="","",IFERROR(INDEX(mst_Breeds[BreedName],MATCH(INDEX(reg_Flocks[BreedID],MATCH($A7,reg_Flocks[FlockID],0)),mst_Breeds[BreedID],0)),""))</f>
        <v/>
      </c>
      <c r="D7" s="6">
        <f>IF($A7="","",INDEX(reg_Flocks[PlacedDate],MATCH($A7,reg_Flocks[FlockID],0)))</f>
        <v/>
      </c>
      <c r="E7" s="2">
        <f>IF($A7="","",INDEX(reg_Flocks[Status],MATCH($A7,reg_Flocks[FlockID],0)))</f>
        <v/>
      </c>
      <c r="F7" s="7">
        <f>IF($A7="","",TODAY()-$D7)</f>
        <v/>
      </c>
      <c r="G7" s="7">
        <f>IF($A7="","",INDEX(reg_Flocks[InitialBirdCount],MATCH($A7,reg_Flocks[FlockID],0)))</f>
        <v/>
      </c>
      <c r="H7" s="7">
        <f>IF($A7="","",SUMIFS(reg_DailyMortality[MortalityCount],reg_DailyMortality[FlockID],$A7))</f>
        <v/>
      </c>
      <c r="I7" s="7">
        <f>IF($A7="","",$G7-$H7)</f>
        <v/>
      </c>
      <c r="J7" s="12">
        <f>IF($A7="","",IFERROR($I7/$G7,0))</f>
        <v/>
      </c>
      <c r="K7" s="7">
        <f>IF($A7="","",SUMIFS(reg_FeedConsumption[KgUsed],reg_FeedConsumption[FlockID],$A7))</f>
        <v/>
      </c>
      <c r="L7" s="3">
        <f>IF($A7="","",SUMIFS(reg_FeedConsumption[CostZMW],reg_FeedConsumption[FlockID],$A7))</f>
        <v/>
      </c>
      <c r="M7" s="6">
        <f>IF($A7="","",IFERROR(_xlfn.MAXIFS(reg_WeeklyWeights[Date],reg_WeeklyWeights[FlockID],$A7),""))</f>
        <v/>
      </c>
      <c r="N7" s="7">
        <f>IF($A7="","",IFERROR(SUMIFS(reg_WeeklyWeights[AvgBodyWeightG],reg_WeeklyWeights[FlockID],$A7,reg_WeeklyWeights[Date],$M7),0))</f>
        <v/>
      </c>
      <c r="O7" s="13">
        <f>IF($A7="","",IFERROR($K7/($I7*$N7/1000),0))</f>
        <v/>
      </c>
      <c r="P7" s="9">
        <f>IF($A7="","",IFERROR($N7/$F7,0))</f>
        <v/>
      </c>
      <c r="Q7" s="3">
        <f>IF($A7="","",SUMIFS(reg_Expenses[Amount_ZMW],reg_Expenses[FlockID],$A7))</f>
        <v/>
      </c>
      <c r="R7" s="3">
        <f>IF($A7="","",SUMIFS(reg_MedicineStock[TotalCost_ZMW],reg_MedicineStock[FlockID],$A7))</f>
        <v/>
      </c>
      <c r="S7" s="3">
        <f>IF($A7="","",SUMIFS(reg_Sales_Dispatch[TotalValue_ZMW],reg_Sales_Dispatch[FlockID],$A7))</f>
        <v/>
      </c>
      <c r="T7" s="7">
        <f>IF($A7="","",SUMIFS(reg_Sales_Dispatch[BirdsDispatched],reg_Sales_Dispatch[FlockID],$A7))</f>
        <v/>
      </c>
      <c r="U7" s="3">
        <f>IF($A7="","",IFERROR(($Q7+$L7+$R7)/$G7,0))</f>
        <v/>
      </c>
      <c r="V7" s="3">
        <f>IF($A7="","",IFERROR(($Q7+$L7+$R7)/($I7*$N7/1000),0))</f>
        <v/>
      </c>
      <c r="W7" s="3">
        <f>IF($A7="","",$S7-$Q7-$L7-$R7)</f>
        <v/>
      </c>
      <c r="X7" s="3">
        <f>IF($A7="","",IFERROR(($Q7+$L7+$R7)/IF($T7&gt;0,$T7,$G7),0))</f>
        <v/>
      </c>
    </row>
    <row r="8">
      <c r="A8" s="2">
        <f>IFERROR(INDEX(reg_Flocks[FlockID],ROW()-1),"")</f>
        <v/>
      </c>
      <c r="B8" s="2">
        <f>IF($A8="","",IFERROR(INDEX(mst_Houses[HouseCode],MATCH(INDEX(reg_Flocks[HouseID],MATCH($A8,reg_Flocks[FlockID],0)),mst_Houses[HouseID],0)),""))</f>
        <v/>
      </c>
      <c r="C8" s="2">
        <f>IF($A8="","",IFERROR(INDEX(mst_Breeds[BreedName],MATCH(INDEX(reg_Flocks[BreedID],MATCH($A8,reg_Flocks[FlockID],0)),mst_Breeds[BreedID],0)),""))</f>
        <v/>
      </c>
      <c r="D8" s="6">
        <f>IF($A8="","",INDEX(reg_Flocks[PlacedDate],MATCH($A8,reg_Flocks[FlockID],0)))</f>
        <v/>
      </c>
      <c r="E8" s="2">
        <f>IF($A8="","",INDEX(reg_Flocks[Status],MATCH($A8,reg_Flocks[FlockID],0)))</f>
        <v/>
      </c>
      <c r="F8" s="7">
        <f>IF($A8="","",TODAY()-$D8)</f>
        <v/>
      </c>
      <c r="G8" s="7">
        <f>IF($A8="","",INDEX(reg_Flocks[InitialBirdCount],MATCH($A8,reg_Flocks[FlockID],0)))</f>
        <v/>
      </c>
      <c r="H8" s="7">
        <f>IF($A8="","",SUMIFS(reg_DailyMortality[MortalityCount],reg_DailyMortality[FlockID],$A8))</f>
        <v/>
      </c>
      <c r="I8" s="7">
        <f>IF($A8="","",$G8-$H8)</f>
        <v/>
      </c>
      <c r="J8" s="12">
        <f>IF($A8="","",IFERROR($I8/$G8,0))</f>
        <v/>
      </c>
      <c r="K8" s="7">
        <f>IF($A8="","",SUMIFS(reg_FeedConsumption[KgUsed],reg_FeedConsumption[FlockID],$A8))</f>
        <v/>
      </c>
      <c r="L8" s="3">
        <f>IF($A8="","",SUMIFS(reg_FeedConsumption[CostZMW],reg_FeedConsumption[FlockID],$A8))</f>
        <v/>
      </c>
      <c r="M8" s="6">
        <f>IF($A8="","",IFERROR(_xlfn.MAXIFS(reg_WeeklyWeights[Date],reg_WeeklyWeights[FlockID],$A8),""))</f>
        <v/>
      </c>
      <c r="N8" s="7">
        <f>IF($A8="","",IFERROR(SUMIFS(reg_WeeklyWeights[AvgBodyWeightG],reg_WeeklyWeights[FlockID],$A8,reg_WeeklyWeights[Date],$M8),0))</f>
        <v/>
      </c>
      <c r="O8" s="13">
        <f>IF($A8="","",IFERROR($K8/($I8*$N8/1000),0))</f>
        <v/>
      </c>
      <c r="P8" s="9">
        <f>IF($A8="","",IFERROR($N8/$F8,0))</f>
        <v/>
      </c>
      <c r="Q8" s="3">
        <f>IF($A8="","",SUMIFS(reg_Expenses[Amount_ZMW],reg_Expenses[FlockID],$A8))</f>
        <v/>
      </c>
      <c r="R8" s="3">
        <f>IF($A8="","",SUMIFS(reg_MedicineStock[TotalCost_ZMW],reg_MedicineStock[FlockID],$A8))</f>
        <v/>
      </c>
      <c r="S8" s="3">
        <f>IF($A8="","",SUMIFS(reg_Sales_Dispatch[TotalValue_ZMW],reg_Sales_Dispatch[FlockID],$A8))</f>
        <v/>
      </c>
      <c r="T8" s="7">
        <f>IF($A8="","",SUMIFS(reg_Sales_Dispatch[BirdsDispatched],reg_Sales_Dispatch[FlockID],$A8))</f>
        <v/>
      </c>
      <c r="U8" s="3">
        <f>IF($A8="","",IFERROR(($Q8+$L8+$R8)/$G8,0))</f>
        <v/>
      </c>
      <c r="V8" s="3">
        <f>IF($A8="","",IFERROR(($Q8+$L8+$R8)/($I8*$N8/1000),0))</f>
        <v/>
      </c>
      <c r="W8" s="3">
        <f>IF($A8="","",$S8-$Q8-$L8-$R8)</f>
        <v/>
      </c>
      <c r="X8" s="3">
        <f>IF($A8="","",IFERROR(($Q8+$L8+$R8)/IF($T8&gt;0,$T8,$G8),0))</f>
        <v/>
      </c>
    </row>
    <row r="9">
      <c r="A9" s="2">
        <f>IFERROR(INDEX(reg_Flocks[FlockID],ROW()-1),"")</f>
        <v/>
      </c>
      <c r="B9" s="2">
        <f>IF($A9="","",IFERROR(INDEX(mst_Houses[HouseCode],MATCH(INDEX(reg_Flocks[HouseID],MATCH($A9,reg_Flocks[FlockID],0)),mst_Houses[HouseID],0)),""))</f>
        <v/>
      </c>
      <c r="C9" s="2">
        <f>IF($A9="","",IFERROR(INDEX(mst_Breeds[BreedName],MATCH(INDEX(reg_Flocks[BreedID],MATCH($A9,reg_Flocks[FlockID],0)),mst_Breeds[BreedID],0)),""))</f>
        <v/>
      </c>
      <c r="D9" s="6">
        <f>IF($A9="","",INDEX(reg_Flocks[PlacedDate],MATCH($A9,reg_Flocks[FlockID],0)))</f>
        <v/>
      </c>
      <c r="E9" s="2">
        <f>IF($A9="","",INDEX(reg_Flocks[Status],MATCH($A9,reg_Flocks[FlockID],0)))</f>
        <v/>
      </c>
      <c r="F9" s="7">
        <f>IF($A9="","",TODAY()-$D9)</f>
        <v/>
      </c>
      <c r="G9" s="7">
        <f>IF($A9="","",INDEX(reg_Flocks[InitialBirdCount],MATCH($A9,reg_Flocks[FlockID],0)))</f>
        <v/>
      </c>
      <c r="H9" s="7">
        <f>IF($A9="","",SUMIFS(reg_DailyMortality[MortalityCount],reg_DailyMortality[FlockID],$A9))</f>
        <v/>
      </c>
      <c r="I9" s="7">
        <f>IF($A9="","",$G9-$H9)</f>
        <v/>
      </c>
      <c r="J9" s="12">
        <f>IF($A9="","",IFERROR($I9/$G9,0))</f>
        <v/>
      </c>
      <c r="K9" s="7">
        <f>IF($A9="","",SUMIFS(reg_FeedConsumption[KgUsed],reg_FeedConsumption[FlockID],$A9))</f>
        <v/>
      </c>
      <c r="L9" s="3">
        <f>IF($A9="","",SUMIFS(reg_FeedConsumption[CostZMW],reg_FeedConsumption[FlockID],$A9))</f>
        <v/>
      </c>
      <c r="M9" s="6">
        <f>IF($A9="","",IFERROR(_xlfn.MAXIFS(reg_WeeklyWeights[Date],reg_WeeklyWeights[FlockID],$A9),""))</f>
        <v/>
      </c>
      <c r="N9" s="7">
        <f>IF($A9="","",IFERROR(SUMIFS(reg_WeeklyWeights[AvgBodyWeightG],reg_WeeklyWeights[FlockID],$A9,reg_WeeklyWeights[Date],$M9),0))</f>
        <v/>
      </c>
      <c r="O9" s="13">
        <f>IF($A9="","",IFERROR($K9/($I9*$N9/1000),0))</f>
        <v/>
      </c>
      <c r="P9" s="9">
        <f>IF($A9="","",IFERROR($N9/$F9,0))</f>
        <v/>
      </c>
      <c r="Q9" s="3">
        <f>IF($A9="","",SUMIFS(reg_Expenses[Amount_ZMW],reg_Expenses[FlockID],$A9))</f>
        <v/>
      </c>
      <c r="R9" s="3">
        <f>IF($A9="","",SUMIFS(reg_MedicineStock[TotalCost_ZMW],reg_MedicineStock[FlockID],$A9))</f>
        <v/>
      </c>
      <c r="S9" s="3">
        <f>IF($A9="","",SUMIFS(reg_Sales_Dispatch[TotalValue_ZMW],reg_Sales_Dispatch[FlockID],$A9))</f>
        <v/>
      </c>
      <c r="T9" s="7">
        <f>IF($A9="","",SUMIFS(reg_Sales_Dispatch[BirdsDispatched],reg_Sales_Dispatch[FlockID],$A9))</f>
        <v/>
      </c>
      <c r="U9" s="3">
        <f>IF($A9="","",IFERROR(($Q9+$L9+$R9)/$G9,0))</f>
        <v/>
      </c>
      <c r="V9" s="3">
        <f>IF($A9="","",IFERROR(($Q9+$L9+$R9)/($I9*$N9/1000),0))</f>
        <v/>
      </c>
      <c r="W9" s="3">
        <f>IF($A9="","",$S9-$Q9-$L9-$R9)</f>
        <v/>
      </c>
      <c r="X9" s="3">
        <f>IF($A9="","",IFERROR(($Q9+$L9+$R9)/IF($T9&gt;0,$T9,$G9),0))</f>
        <v/>
      </c>
    </row>
    <row r="10">
      <c r="A10" s="2">
        <f>IFERROR(INDEX(reg_Flocks[FlockID],ROW()-1),"")</f>
        <v/>
      </c>
      <c r="B10" s="2">
        <f>IF($A10="","",IFERROR(INDEX(mst_Houses[HouseCode],MATCH(INDEX(reg_Flocks[HouseID],MATCH($A10,reg_Flocks[FlockID],0)),mst_Houses[HouseID],0)),""))</f>
        <v/>
      </c>
      <c r="C10" s="2">
        <f>IF($A10="","",IFERROR(INDEX(mst_Breeds[BreedName],MATCH(INDEX(reg_Flocks[BreedID],MATCH($A10,reg_Flocks[FlockID],0)),mst_Breeds[BreedID],0)),""))</f>
        <v/>
      </c>
      <c r="D10" s="6">
        <f>IF($A10="","",INDEX(reg_Flocks[PlacedDate],MATCH($A10,reg_Flocks[FlockID],0)))</f>
        <v/>
      </c>
      <c r="E10" s="2">
        <f>IF($A10="","",INDEX(reg_Flocks[Status],MATCH($A10,reg_Flocks[FlockID],0)))</f>
        <v/>
      </c>
      <c r="F10" s="7">
        <f>IF($A10="","",TODAY()-$D10)</f>
        <v/>
      </c>
      <c r="G10" s="7">
        <f>IF($A10="","",INDEX(reg_Flocks[InitialBirdCount],MATCH($A10,reg_Flocks[FlockID],0)))</f>
        <v/>
      </c>
      <c r="H10" s="7">
        <f>IF($A10="","",SUMIFS(reg_DailyMortality[MortalityCount],reg_DailyMortality[FlockID],$A10))</f>
        <v/>
      </c>
      <c r="I10" s="7">
        <f>IF($A10="","",$G10-$H10)</f>
        <v/>
      </c>
      <c r="J10" s="12">
        <f>IF($A10="","",IFERROR($I10/$G10,0))</f>
        <v/>
      </c>
      <c r="K10" s="7">
        <f>IF($A10="","",SUMIFS(reg_FeedConsumption[KgUsed],reg_FeedConsumption[FlockID],$A10))</f>
        <v/>
      </c>
      <c r="L10" s="3">
        <f>IF($A10="","",SUMIFS(reg_FeedConsumption[CostZMW],reg_FeedConsumption[FlockID],$A10))</f>
        <v/>
      </c>
      <c r="M10" s="6">
        <f>IF($A10="","",IFERROR(_xlfn.MAXIFS(reg_WeeklyWeights[Date],reg_WeeklyWeights[FlockID],$A10),""))</f>
        <v/>
      </c>
      <c r="N10" s="7">
        <f>IF($A10="","",IFERROR(SUMIFS(reg_WeeklyWeights[AvgBodyWeightG],reg_WeeklyWeights[FlockID],$A10,reg_WeeklyWeights[Date],$M10),0))</f>
        <v/>
      </c>
      <c r="O10" s="13">
        <f>IF($A10="","",IFERROR($K10/($I10*$N10/1000),0))</f>
        <v/>
      </c>
      <c r="P10" s="9">
        <f>IF($A10="","",IFERROR($N10/$F10,0))</f>
        <v/>
      </c>
      <c r="Q10" s="3">
        <f>IF($A10="","",SUMIFS(reg_Expenses[Amount_ZMW],reg_Expenses[FlockID],$A10))</f>
        <v/>
      </c>
      <c r="R10" s="3">
        <f>IF($A10="","",SUMIFS(reg_MedicineStock[TotalCost_ZMW],reg_MedicineStock[FlockID],$A10))</f>
        <v/>
      </c>
      <c r="S10" s="3">
        <f>IF($A10="","",SUMIFS(reg_Sales_Dispatch[TotalValue_ZMW],reg_Sales_Dispatch[FlockID],$A10))</f>
        <v/>
      </c>
      <c r="T10" s="7">
        <f>IF($A10="","",SUMIFS(reg_Sales_Dispatch[BirdsDispatched],reg_Sales_Dispatch[FlockID],$A10))</f>
        <v/>
      </c>
      <c r="U10" s="3">
        <f>IF($A10="","",IFERROR(($Q10+$L10+$R10)/$G10,0))</f>
        <v/>
      </c>
      <c r="V10" s="3">
        <f>IF($A10="","",IFERROR(($Q10+$L10+$R10)/($I10*$N10/1000),0))</f>
        <v/>
      </c>
      <c r="W10" s="3">
        <f>IF($A10="","",$S10-$Q10-$L10-$R10)</f>
        <v/>
      </c>
      <c r="X10" s="3">
        <f>IF($A10="","",IFERROR(($Q10+$L10+$R10)/IF($T10&gt;0,$T10,$G10),0))</f>
        <v/>
      </c>
    </row>
    <row r="11">
      <c r="A11" s="2">
        <f>IFERROR(INDEX(reg_Flocks[FlockID],ROW()-1),"")</f>
        <v/>
      </c>
      <c r="B11" s="2">
        <f>IF($A11="","",IFERROR(INDEX(mst_Houses[HouseCode],MATCH(INDEX(reg_Flocks[HouseID],MATCH($A11,reg_Flocks[FlockID],0)),mst_Houses[HouseID],0)),""))</f>
        <v/>
      </c>
      <c r="C11" s="2">
        <f>IF($A11="","",IFERROR(INDEX(mst_Breeds[BreedName],MATCH(INDEX(reg_Flocks[BreedID],MATCH($A11,reg_Flocks[FlockID],0)),mst_Breeds[BreedID],0)),""))</f>
        <v/>
      </c>
      <c r="D11" s="6">
        <f>IF($A11="","",INDEX(reg_Flocks[PlacedDate],MATCH($A11,reg_Flocks[FlockID],0)))</f>
        <v/>
      </c>
      <c r="E11" s="2">
        <f>IF($A11="","",INDEX(reg_Flocks[Status],MATCH($A11,reg_Flocks[FlockID],0)))</f>
        <v/>
      </c>
      <c r="F11" s="7">
        <f>IF($A11="","",TODAY()-$D11)</f>
        <v/>
      </c>
      <c r="G11" s="7">
        <f>IF($A11="","",INDEX(reg_Flocks[InitialBirdCount],MATCH($A11,reg_Flocks[FlockID],0)))</f>
        <v/>
      </c>
      <c r="H11" s="7">
        <f>IF($A11="","",SUMIFS(reg_DailyMortality[MortalityCount],reg_DailyMortality[FlockID],$A11))</f>
        <v/>
      </c>
      <c r="I11" s="7">
        <f>IF($A11="","",$G11-$H11)</f>
        <v/>
      </c>
      <c r="J11" s="12">
        <f>IF($A11="","",IFERROR($I11/$G11,0))</f>
        <v/>
      </c>
      <c r="K11" s="7">
        <f>IF($A11="","",SUMIFS(reg_FeedConsumption[KgUsed],reg_FeedConsumption[FlockID],$A11))</f>
        <v/>
      </c>
      <c r="L11" s="3">
        <f>IF($A11="","",SUMIFS(reg_FeedConsumption[CostZMW],reg_FeedConsumption[FlockID],$A11))</f>
        <v/>
      </c>
      <c r="M11" s="6">
        <f>IF($A11="","",IFERROR(_xlfn.MAXIFS(reg_WeeklyWeights[Date],reg_WeeklyWeights[FlockID],$A11),""))</f>
        <v/>
      </c>
      <c r="N11" s="7">
        <f>IF($A11="","",IFERROR(SUMIFS(reg_WeeklyWeights[AvgBodyWeightG],reg_WeeklyWeights[FlockID],$A11,reg_WeeklyWeights[Date],$M11),0))</f>
        <v/>
      </c>
      <c r="O11" s="13">
        <f>IF($A11="","",IFERROR($K11/($I11*$N11/1000),0))</f>
        <v/>
      </c>
      <c r="P11" s="9">
        <f>IF($A11="","",IFERROR($N11/$F11,0))</f>
        <v/>
      </c>
      <c r="Q11" s="3">
        <f>IF($A11="","",SUMIFS(reg_Expenses[Amount_ZMW],reg_Expenses[FlockID],$A11))</f>
        <v/>
      </c>
      <c r="R11" s="3">
        <f>IF($A11="","",SUMIFS(reg_MedicineStock[TotalCost_ZMW],reg_MedicineStock[FlockID],$A11))</f>
        <v/>
      </c>
      <c r="S11" s="3">
        <f>IF($A11="","",SUMIFS(reg_Sales_Dispatch[TotalValue_ZMW],reg_Sales_Dispatch[FlockID],$A11))</f>
        <v/>
      </c>
      <c r="T11" s="7">
        <f>IF($A11="","",SUMIFS(reg_Sales_Dispatch[BirdsDispatched],reg_Sales_Dispatch[FlockID],$A11))</f>
        <v/>
      </c>
      <c r="U11" s="3">
        <f>IF($A11="","",IFERROR(($Q11+$L11+$R11)/$G11,0))</f>
        <v/>
      </c>
      <c r="V11" s="3">
        <f>IF($A11="","",IFERROR(($Q11+$L11+$R11)/($I11*$N11/1000),0))</f>
        <v/>
      </c>
      <c r="W11" s="3">
        <f>IF($A11="","",$S11-$Q11-$L11-$R11)</f>
        <v/>
      </c>
      <c r="X11" s="3">
        <f>IF($A11="","",IFERROR(($Q11+$L11+$R11)/IF($T11&gt;0,$T11,$G11),0))</f>
        <v/>
      </c>
    </row>
    <row r="12">
      <c r="A12" s="2">
        <f>IFERROR(INDEX(reg_Flocks[FlockID],ROW()-1),"")</f>
        <v/>
      </c>
      <c r="B12" s="2">
        <f>IF($A12="","",IFERROR(INDEX(mst_Houses[HouseCode],MATCH(INDEX(reg_Flocks[HouseID],MATCH($A12,reg_Flocks[FlockID],0)),mst_Houses[HouseID],0)),""))</f>
        <v/>
      </c>
      <c r="C12" s="2">
        <f>IF($A12="","",IFERROR(INDEX(mst_Breeds[BreedName],MATCH(INDEX(reg_Flocks[BreedID],MATCH($A12,reg_Flocks[FlockID],0)),mst_Breeds[BreedID],0)),""))</f>
        <v/>
      </c>
      <c r="D12" s="6">
        <f>IF($A12="","",INDEX(reg_Flocks[PlacedDate],MATCH($A12,reg_Flocks[FlockID],0)))</f>
        <v/>
      </c>
      <c r="E12" s="2">
        <f>IF($A12="","",INDEX(reg_Flocks[Status],MATCH($A12,reg_Flocks[FlockID],0)))</f>
        <v/>
      </c>
      <c r="F12" s="7">
        <f>IF($A12="","",TODAY()-$D12)</f>
        <v/>
      </c>
      <c r="G12" s="7">
        <f>IF($A12="","",INDEX(reg_Flocks[InitialBirdCount],MATCH($A12,reg_Flocks[FlockID],0)))</f>
        <v/>
      </c>
      <c r="H12" s="7">
        <f>IF($A12="","",SUMIFS(reg_DailyMortality[MortalityCount],reg_DailyMortality[FlockID],$A12))</f>
        <v/>
      </c>
      <c r="I12" s="7">
        <f>IF($A12="","",$G12-$H12)</f>
        <v/>
      </c>
      <c r="J12" s="12">
        <f>IF($A12="","",IFERROR($I12/$G12,0))</f>
        <v/>
      </c>
      <c r="K12" s="7">
        <f>IF($A12="","",SUMIFS(reg_FeedConsumption[KgUsed],reg_FeedConsumption[FlockID],$A12))</f>
        <v/>
      </c>
      <c r="L12" s="3">
        <f>IF($A12="","",SUMIFS(reg_FeedConsumption[CostZMW],reg_FeedConsumption[FlockID],$A12))</f>
        <v/>
      </c>
      <c r="M12" s="6">
        <f>IF($A12="","",IFERROR(_xlfn.MAXIFS(reg_WeeklyWeights[Date],reg_WeeklyWeights[FlockID],$A12),""))</f>
        <v/>
      </c>
      <c r="N12" s="7">
        <f>IF($A12="","",IFERROR(SUMIFS(reg_WeeklyWeights[AvgBodyWeightG],reg_WeeklyWeights[FlockID],$A12,reg_WeeklyWeights[Date],$M12),0))</f>
        <v/>
      </c>
      <c r="O12" s="13">
        <f>IF($A12="","",IFERROR($K12/($I12*$N12/1000),0))</f>
        <v/>
      </c>
      <c r="P12" s="9">
        <f>IF($A12="","",IFERROR($N12/$F12,0))</f>
        <v/>
      </c>
      <c r="Q12" s="3">
        <f>IF($A12="","",SUMIFS(reg_Expenses[Amount_ZMW],reg_Expenses[FlockID],$A12))</f>
        <v/>
      </c>
      <c r="R12" s="3">
        <f>IF($A12="","",SUMIFS(reg_MedicineStock[TotalCost_ZMW],reg_MedicineStock[FlockID],$A12))</f>
        <v/>
      </c>
      <c r="S12" s="3">
        <f>IF($A12="","",SUMIFS(reg_Sales_Dispatch[TotalValue_ZMW],reg_Sales_Dispatch[FlockID],$A12))</f>
        <v/>
      </c>
      <c r="T12" s="7">
        <f>IF($A12="","",SUMIFS(reg_Sales_Dispatch[BirdsDispatched],reg_Sales_Dispatch[FlockID],$A12))</f>
        <v/>
      </c>
      <c r="U12" s="3">
        <f>IF($A12="","",IFERROR(($Q12+$L12+$R12)/$G12,0))</f>
        <v/>
      </c>
      <c r="V12" s="3">
        <f>IF($A12="","",IFERROR(($Q12+$L12+$R12)/($I12*$N12/1000),0))</f>
        <v/>
      </c>
      <c r="W12" s="3">
        <f>IF($A12="","",$S12-$Q12-$L12-$R12)</f>
        <v/>
      </c>
      <c r="X12" s="3">
        <f>IF($A12="","",IFERROR(($Q12+$L12+$R12)/IF($T12&gt;0,$T12,$G12),0))</f>
        <v/>
      </c>
    </row>
    <row r="13">
      <c r="A13" s="2">
        <f>IFERROR(INDEX(reg_Flocks[FlockID],ROW()-1),"")</f>
        <v/>
      </c>
      <c r="B13" s="2">
        <f>IF($A13="","",IFERROR(INDEX(mst_Houses[HouseCode],MATCH(INDEX(reg_Flocks[HouseID],MATCH($A13,reg_Flocks[FlockID],0)),mst_Houses[HouseID],0)),""))</f>
        <v/>
      </c>
      <c r="C13" s="2">
        <f>IF($A13="","",IFERROR(INDEX(mst_Breeds[BreedName],MATCH(INDEX(reg_Flocks[BreedID],MATCH($A13,reg_Flocks[FlockID],0)),mst_Breeds[BreedID],0)),""))</f>
        <v/>
      </c>
      <c r="D13" s="6">
        <f>IF($A13="","",INDEX(reg_Flocks[PlacedDate],MATCH($A13,reg_Flocks[FlockID],0)))</f>
        <v/>
      </c>
      <c r="E13" s="2">
        <f>IF($A13="","",INDEX(reg_Flocks[Status],MATCH($A13,reg_Flocks[FlockID],0)))</f>
        <v/>
      </c>
      <c r="F13" s="7">
        <f>IF($A13="","",TODAY()-$D13)</f>
        <v/>
      </c>
      <c r="G13" s="7">
        <f>IF($A13="","",INDEX(reg_Flocks[InitialBirdCount],MATCH($A13,reg_Flocks[FlockID],0)))</f>
        <v/>
      </c>
      <c r="H13" s="7">
        <f>IF($A13="","",SUMIFS(reg_DailyMortality[MortalityCount],reg_DailyMortality[FlockID],$A13))</f>
        <v/>
      </c>
      <c r="I13" s="7">
        <f>IF($A13="","",$G13-$H13)</f>
        <v/>
      </c>
      <c r="J13" s="12">
        <f>IF($A13="","",IFERROR($I13/$G13,0))</f>
        <v/>
      </c>
      <c r="K13" s="7">
        <f>IF($A13="","",SUMIFS(reg_FeedConsumption[KgUsed],reg_FeedConsumption[FlockID],$A13))</f>
        <v/>
      </c>
      <c r="L13" s="3">
        <f>IF($A13="","",SUMIFS(reg_FeedConsumption[CostZMW],reg_FeedConsumption[FlockID],$A13))</f>
        <v/>
      </c>
      <c r="M13" s="6">
        <f>IF($A13="","",IFERROR(_xlfn.MAXIFS(reg_WeeklyWeights[Date],reg_WeeklyWeights[FlockID],$A13),""))</f>
        <v/>
      </c>
      <c r="N13" s="7">
        <f>IF($A13="","",IFERROR(SUMIFS(reg_WeeklyWeights[AvgBodyWeightG],reg_WeeklyWeights[FlockID],$A13,reg_WeeklyWeights[Date],$M13),0))</f>
        <v/>
      </c>
      <c r="O13" s="13">
        <f>IF($A13="","",IFERROR($K13/($I13*$N13/1000),0))</f>
        <v/>
      </c>
      <c r="P13" s="9">
        <f>IF($A13="","",IFERROR($N13/$F13,0))</f>
        <v/>
      </c>
      <c r="Q13" s="3">
        <f>IF($A13="","",SUMIFS(reg_Expenses[Amount_ZMW],reg_Expenses[FlockID],$A13))</f>
        <v/>
      </c>
      <c r="R13" s="3">
        <f>IF($A13="","",SUMIFS(reg_MedicineStock[TotalCost_ZMW],reg_MedicineStock[FlockID],$A13))</f>
        <v/>
      </c>
      <c r="S13" s="3">
        <f>IF($A13="","",SUMIFS(reg_Sales_Dispatch[TotalValue_ZMW],reg_Sales_Dispatch[FlockID],$A13))</f>
        <v/>
      </c>
      <c r="T13" s="7">
        <f>IF($A13="","",SUMIFS(reg_Sales_Dispatch[BirdsDispatched],reg_Sales_Dispatch[FlockID],$A13))</f>
        <v/>
      </c>
      <c r="U13" s="3">
        <f>IF($A13="","",IFERROR(($Q13+$L13+$R13)/$G13,0))</f>
        <v/>
      </c>
      <c r="V13" s="3">
        <f>IF($A13="","",IFERROR(($Q13+$L13+$R13)/($I13*$N13/1000),0))</f>
        <v/>
      </c>
      <c r="W13" s="3">
        <f>IF($A13="","",$S13-$Q13-$L13-$R13)</f>
        <v/>
      </c>
      <c r="X13" s="3">
        <f>IF($A13="","",IFERROR(($Q13+$L13+$R13)/IF($T13&gt;0,$T13,$G13),0))</f>
        <v/>
      </c>
    </row>
    <row r="14">
      <c r="A14" s="2">
        <f>IFERROR(INDEX(reg_Flocks[FlockID],ROW()-1),"")</f>
        <v/>
      </c>
      <c r="B14" s="2">
        <f>IF($A14="","",IFERROR(INDEX(mst_Houses[HouseCode],MATCH(INDEX(reg_Flocks[HouseID],MATCH($A14,reg_Flocks[FlockID],0)),mst_Houses[HouseID],0)),""))</f>
        <v/>
      </c>
      <c r="C14" s="2">
        <f>IF($A14="","",IFERROR(INDEX(mst_Breeds[BreedName],MATCH(INDEX(reg_Flocks[BreedID],MATCH($A14,reg_Flocks[FlockID],0)),mst_Breeds[BreedID],0)),""))</f>
        <v/>
      </c>
      <c r="D14" s="6">
        <f>IF($A14="","",INDEX(reg_Flocks[PlacedDate],MATCH($A14,reg_Flocks[FlockID],0)))</f>
        <v/>
      </c>
      <c r="E14" s="2">
        <f>IF($A14="","",INDEX(reg_Flocks[Status],MATCH($A14,reg_Flocks[FlockID],0)))</f>
        <v/>
      </c>
      <c r="F14" s="7">
        <f>IF($A14="","",TODAY()-$D14)</f>
        <v/>
      </c>
      <c r="G14" s="7">
        <f>IF($A14="","",INDEX(reg_Flocks[InitialBirdCount],MATCH($A14,reg_Flocks[FlockID],0)))</f>
        <v/>
      </c>
      <c r="H14" s="7">
        <f>IF($A14="","",SUMIFS(reg_DailyMortality[MortalityCount],reg_DailyMortality[FlockID],$A14))</f>
        <v/>
      </c>
      <c r="I14" s="7">
        <f>IF($A14="","",$G14-$H14)</f>
        <v/>
      </c>
      <c r="J14" s="12">
        <f>IF($A14="","",IFERROR($I14/$G14,0))</f>
        <v/>
      </c>
      <c r="K14" s="7">
        <f>IF($A14="","",SUMIFS(reg_FeedConsumption[KgUsed],reg_FeedConsumption[FlockID],$A14))</f>
        <v/>
      </c>
      <c r="L14" s="3">
        <f>IF($A14="","",SUMIFS(reg_FeedConsumption[CostZMW],reg_FeedConsumption[FlockID],$A14))</f>
        <v/>
      </c>
      <c r="M14" s="6">
        <f>IF($A14="","",IFERROR(_xlfn.MAXIFS(reg_WeeklyWeights[Date],reg_WeeklyWeights[FlockID],$A14),""))</f>
        <v/>
      </c>
      <c r="N14" s="7">
        <f>IF($A14="","",IFERROR(SUMIFS(reg_WeeklyWeights[AvgBodyWeightG],reg_WeeklyWeights[FlockID],$A14,reg_WeeklyWeights[Date],$M14),0))</f>
        <v/>
      </c>
      <c r="O14" s="13">
        <f>IF($A14="","",IFERROR($K14/($I14*$N14/1000),0))</f>
        <v/>
      </c>
      <c r="P14" s="9">
        <f>IF($A14="","",IFERROR($N14/$F14,0))</f>
        <v/>
      </c>
      <c r="Q14" s="3">
        <f>IF($A14="","",SUMIFS(reg_Expenses[Amount_ZMW],reg_Expenses[FlockID],$A14))</f>
        <v/>
      </c>
      <c r="R14" s="3">
        <f>IF($A14="","",SUMIFS(reg_MedicineStock[TotalCost_ZMW],reg_MedicineStock[FlockID],$A14))</f>
        <v/>
      </c>
      <c r="S14" s="3">
        <f>IF($A14="","",SUMIFS(reg_Sales_Dispatch[TotalValue_ZMW],reg_Sales_Dispatch[FlockID],$A14))</f>
        <v/>
      </c>
      <c r="T14" s="7">
        <f>IF($A14="","",SUMIFS(reg_Sales_Dispatch[BirdsDispatched],reg_Sales_Dispatch[FlockID],$A14))</f>
        <v/>
      </c>
      <c r="U14" s="3">
        <f>IF($A14="","",IFERROR(($Q14+$L14+$R14)/$G14,0))</f>
        <v/>
      </c>
      <c r="V14" s="3">
        <f>IF($A14="","",IFERROR(($Q14+$L14+$R14)/($I14*$N14/1000),0))</f>
        <v/>
      </c>
      <c r="W14" s="3">
        <f>IF($A14="","",$S14-$Q14-$L14-$R14)</f>
        <v/>
      </c>
      <c r="X14" s="3">
        <f>IF($A14="","",IFERROR(($Q14+$L14+$R14)/IF($T14&gt;0,$T14,$G14),0))</f>
        <v/>
      </c>
    </row>
    <row r="15">
      <c r="A15" s="2">
        <f>IFERROR(INDEX(reg_Flocks[FlockID],ROW()-1),"")</f>
        <v/>
      </c>
      <c r="B15" s="2">
        <f>IF($A15="","",IFERROR(INDEX(mst_Houses[HouseCode],MATCH(INDEX(reg_Flocks[HouseID],MATCH($A15,reg_Flocks[FlockID],0)),mst_Houses[HouseID],0)),""))</f>
        <v/>
      </c>
      <c r="C15" s="2">
        <f>IF($A15="","",IFERROR(INDEX(mst_Breeds[BreedName],MATCH(INDEX(reg_Flocks[BreedID],MATCH($A15,reg_Flocks[FlockID],0)),mst_Breeds[BreedID],0)),""))</f>
        <v/>
      </c>
      <c r="D15" s="6">
        <f>IF($A15="","",INDEX(reg_Flocks[PlacedDate],MATCH($A15,reg_Flocks[FlockID],0)))</f>
        <v/>
      </c>
      <c r="E15" s="2">
        <f>IF($A15="","",INDEX(reg_Flocks[Status],MATCH($A15,reg_Flocks[FlockID],0)))</f>
        <v/>
      </c>
      <c r="F15" s="7">
        <f>IF($A15="","",TODAY()-$D15)</f>
        <v/>
      </c>
      <c r="G15" s="7">
        <f>IF($A15="","",INDEX(reg_Flocks[InitialBirdCount],MATCH($A15,reg_Flocks[FlockID],0)))</f>
        <v/>
      </c>
      <c r="H15" s="7">
        <f>IF($A15="","",SUMIFS(reg_DailyMortality[MortalityCount],reg_DailyMortality[FlockID],$A15))</f>
        <v/>
      </c>
      <c r="I15" s="7">
        <f>IF($A15="","",$G15-$H15)</f>
        <v/>
      </c>
      <c r="J15" s="12">
        <f>IF($A15="","",IFERROR($I15/$G15,0))</f>
        <v/>
      </c>
      <c r="K15" s="7">
        <f>IF($A15="","",SUMIFS(reg_FeedConsumption[KgUsed],reg_FeedConsumption[FlockID],$A15))</f>
        <v/>
      </c>
      <c r="L15" s="3">
        <f>IF($A15="","",SUMIFS(reg_FeedConsumption[CostZMW],reg_FeedConsumption[FlockID],$A15))</f>
        <v/>
      </c>
      <c r="M15" s="6">
        <f>IF($A15="","",IFERROR(_xlfn.MAXIFS(reg_WeeklyWeights[Date],reg_WeeklyWeights[FlockID],$A15),""))</f>
        <v/>
      </c>
      <c r="N15" s="7">
        <f>IF($A15="","",IFERROR(SUMIFS(reg_WeeklyWeights[AvgBodyWeightG],reg_WeeklyWeights[FlockID],$A15,reg_WeeklyWeights[Date],$M15),0))</f>
        <v/>
      </c>
      <c r="O15" s="13">
        <f>IF($A15="","",IFERROR($K15/($I15*$N15/1000),0))</f>
        <v/>
      </c>
      <c r="P15" s="9">
        <f>IF($A15="","",IFERROR($N15/$F15,0))</f>
        <v/>
      </c>
      <c r="Q15" s="3">
        <f>IF($A15="","",SUMIFS(reg_Expenses[Amount_ZMW],reg_Expenses[FlockID],$A15))</f>
        <v/>
      </c>
      <c r="R15" s="3">
        <f>IF($A15="","",SUMIFS(reg_MedicineStock[TotalCost_ZMW],reg_MedicineStock[FlockID],$A15))</f>
        <v/>
      </c>
      <c r="S15" s="3">
        <f>IF($A15="","",SUMIFS(reg_Sales_Dispatch[TotalValue_ZMW],reg_Sales_Dispatch[FlockID],$A15))</f>
        <v/>
      </c>
      <c r="T15" s="7">
        <f>IF($A15="","",SUMIFS(reg_Sales_Dispatch[BirdsDispatched],reg_Sales_Dispatch[FlockID],$A15))</f>
        <v/>
      </c>
      <c r="U15" s="3">
        <f>IF($A15="","",IFERROR(($Q15+$L15+$R15)/$G15,0))</f>
        <v/>
      </c>
      <c r="V15" s="3">
        <f>IF($A15="","",IFERROR(($Q15+$L15+$R15)/($I15*$N15/1000),0))</f>
        <v/>
      </c>
      <c r="W15" s="3">
        <f>IF($A15="","",$S15-$Q15-$L15-$R15)</f>
        <v/>
      </c>
      <c r="X15" s="3">
        <f>IF($A15="","",IFERROR(($Q15+$L15+$R15)/IF($T15&gt;0,$T15,$G15),0))</f>
        <v/>
      </c>
    </row>
    <row r="16">
      <c r="A16" s="2">
        <f>IFERROR(INDEX(reg_Flocks[FlockID],ROW()-1),"")</f>
        <v/>
      </c>
      <c r="B16" s="2">
        <f>IF($A16="","",IFERROR(INDEX(mst_Houses[HouseCode],MATCH(INDEX(reg_Flocks[HouseID],MATCH($A16,reg_Flocks[FlockID],0)),mst_Houses[HouseID],0)),""))</f>
        <v/>
      </c>
      <c r="C16" s="2">
        <f>IF($A16="","",IFERROR(INDEX(mst_Breeds[BreedName],MATCH(INDEX(reg_Flocks[BreedID],MATCH($A16,reg_Flocks[FlockID],0)),mst_Breeds[BreedID],0)),""))</f>
        <v/>
      </c>
      <c r="D16" s="6">
        <f>IF($A16="","",INDEX(reg_Flocks[PlacedDate],MATCH($A16,reg_Flocks[FlockID],0)))</f>
        <v/>
      </c>
      <c r="E16" s="2">
        <f>IF($A16="","",INDEX(reg_Flocks[Status],MATCH($A16,reg_Flocks[FlockID],0)))</f>
        <v/>
      </c>
      <c r="F16" s="7">
        <f>IF($A16="","",TODAY()-$D16)</f>
        <v/>
      </c>
      <c r="G16" s="7">
        <f>IF($A16="","",INDEX(reg_Flocks[InitialBirdCount],MATCH($A16,reg_Flocks[FlockID],0)))</f>
        <v/>
      </c>
      <c r="H16" s="7">
        <f>IF($A16="","",SUMIFS(reg_DailyMortality[MortalityCount],reg_DailyMortality[FlockID],$A16))</f>
        <v/>
      </c>
      <c r="I16" s="7">
        <f>IF($A16="","",$G16-$H16)</f>
        <v/>
      </c>
      <c r="J16" s="12">
        <f>IF($A16="","",IFERROR($I16/$G16,0))</f>
        <v/>
      </c>
      <c r="K16" s="7">
        <f>IF($A16="","",SUMIFS(reg_FeedConsumption[KgUsed],reg_FeedConsumption[FlockID],$A16))</f>
        <v/>
      </c>
      <c r="L16" s="3">
        <f>IF($A16="","",SUMIFS(reg_FeedConsumption[CostZMW],reg_FeedConsumption[FlockID],$A16))</f>
        <v/>
      </c>
      <c r="M16" s="6">
        <f>IF($A16="","",IFERROR(_xlfn.MAXIFS(reg_WeeklyWeights[Date],reg_WeeklyWeights[FlockID],$A16),""))</f>
        <v/>
      </c>
      <c r="N16" s="7">
        <f>IF($A16="","",IFERROR(SUMIFS(reg_WeeklyWeights[AvgBodyWeightG],reg_WeeklyWeights[FlockID],$A16,reg_WeeklyWeights[Date],$M16),0))</f>
        <v/>
      </c>
      <c r="O16" s="13">
        <f>IF($A16="","",IFERROR($K16/($I16*$N16/1000),0))</f>
        <v/>
      </c>
      <c r="P16" s="9">
        <f>IF($A16="","",IFERROR($N16/$F16,0))</f>
        <v/>
      </c>
      <c r="Q16" s="3">
        <f>IF($A16="","",SUMIFS(reg_Expenses[Amount_ZMW],reg_Expenses[FlockID],$A16))</f>
        <v/>
      </c>
      <c r="R16" s="3">
        <f>IF($A16="","",SUMIFS(reg_MedicineStock[TotalCost_ZMW],reg_MedicineStock[FlockID],$A16))</f>
        <v/>
      </c>
      <c r="S16" s="3">
        <f>IF($A16="","",SUMIFS(reg_Sales_Dispatch[TotalValue_ZMW],reg_Sales_Dispatch[FlockID],$A16))</f>
        <v/>
      </c>
      <c r="T16" s="7">
        <f>IF($A16="","",SUMIFS(reg_Sales_Dispatch[BirdsDispatched],reg_Sales_Dispatch[FlockID],$A16))</f>
        <v/>
      </c>
      <c r="U16" s="3">
        <f>IF($A16="","",IFERROR(($Q16+$L16+$R16)/$G16,0))</f>
        <v/>
      </c>
      <c r="V16" s="3">
        <f>IF($A16="","",IFERROR(($Q16+$L16+$R16)/($I16*$N16/1000),0))</f>
        <v/>
      </c>
      <c r="W16" s="3">
        <f>IF($A16="","",$S16-$Q16-$L16-$R16)</f>
        <v/>
      </c>
      <c r="X16" s="3">
        <f>IF($A16="","",IFERROR(($Q16+$L16+$R16)/IF($T16&gt;0,$T16,$G16),0))</f>
        <v/>
      </c>
    </row>
    <row r="17">
      <c r="A17" s="2">
        <f>IFERROR(INDEX(reg_Flocks[FlockID],ROW()-1),"")</f>
        <v/>
      </c>
      <c r="B17" s="2">
        <f>IF($A17="","",IFERROR(INDEX(mst_Houses[HouseCode],MATCH(INDEX(reg_Flocks[HouseID],MATCH($A17,reg_Flocks[FlockID],0)),mst_Houses[HouseID],0)),""))</f>
        <v/>
      </c>
      <c r="C17" s="2">
        <f>IF($A17="","",IFERROR(INDEX(mst_Breeds[BreedName],MATCH(INDEX(reg_Flocks[BreedID],MATCH($A17,reg_Flocks[FlockID],0)),mst_Breeds[BreedID],0)),""))</f>
        <v/>
      </c>
      <c r="D17" s="6">
        <f>IF($A17="","",INDEX(reg_Flocks[PlacedDate],MATCH($A17,reg_Flocks[FlockID],0)))</f>
        <v/>
      </c>
      <c r="E17" s="2">
        <f>IF($A17="","",INDEX(reg_Flocks[Status],MATCH($A17,reg_Flocks[FlockID],0)))</f>
        <v/>
      </c>
      <c r="F17" s="7">
        <f>IF($A17="","",TODAY()-$D17)</f>
        <v/>
      </c>
      <c r="G17" s="7">
        <f>IF($A17="","",INDEX(reg_Flocks[InitialBirdCount],MATCH($A17,reg_Flocks[FlockID],0)))</f>
        <v/>
      </c>
      <c r="H17" s="7">
        <f>IF($A17="","",SUMIFS(reg_DailyMortality[MortalityCount],reg_DailyMortality[FlockID],$A17))</f>
        <v/>
      </c>
      <c r="I17" s="7">
        <f>IF($A17="","",$G17-$H17)</f>
        <v/>
      </c>
      <c r="J17" s="12">
        <f>IF($A17="","",IFERROR($I17/$G17,0))</f>
        <v/>
      </c>
      <c r="K17" s="7">
        <f>IF($A17="","",SUMIFS(reg_FeedConsumption[KgUsed],reg_FeedConsumption[FlockID],$A17))</f>
        <v/>
      </c>
      <c r="L17" s="3">
        <f>IF($A17="","",SUMIFS(reg_FeedConsumption[CostZMW],reg_FeedConsumption[FlockID],$A17))</f>
        <v/>
      </c>
      <c r="M17" s="6">
        <f>IF($A17="","",IFERROR(_xlfn.MAXIFS(reg_WeeklyWeights[Date],reg_WeeklyWeights[FlockID],$A17),""))</f>
        <v/>
      </c>
      <c r="N17" s="7">
        <f>IF($A17="","",IFERROR(SUMIFS(reg_WeeklyWeights[AvgBodyWeightG],reg_WeeklyWeights[FlockID],$A17,reg_WeeklyWeights[Date],$M17),0))</f>
        <v/>
      </c>
      <c r="O17" s="13">
        <f>IF($A17="","",IFERROR($K17/($I17*$N17/1000),0))</f>
        <v/>
      </c>
      <c r="P17" s="9">
        <f>IF($A17="","",IFERROR($N17/$F17,0))</f>
        <v/>
      </c>
      <c r="Q17" s="3">
        <f>IF($A17="","",SUMIFS(reg_Expenses[Amount_ZMW],reg_Expenses[FlockID],$A17))</f>
        <v/>
      </c>
      <c r="R17" s="3">
        <f>IF($A17="","",SUMIFS(reg_MedicineStock[TotalCost_ZMW],reg_MedicineStock[FlockID],$A17))</f>
        <v/>
      </c>
      <c r="S17" s="3">
        <f>IF($A17="","",SUMIFS(reg_Sales_Dispatch[TotalValue_ZMW],reg_Sales_Dispatch[FlockID],$A17))</f>
        <v/>
      </c>
      <c r="T17" s="7">
        <f>IF($A17="","",SUMIFS(reg_Sales_Dispatch[BirdsDispatched],reg_Sales_Dispatch[FlockID],$A17))</f>
        <v/>
      </c>
      <c r="U17" s="3">
        <f>IF($A17="","",IFERROR(($Q17+$L17+$R17)/$G17,0))</f>
        <v/>
      </c>
      <c r="V17" s="3">
        <f>IF($A17="","",IFERROR(($Q17+$L17+$R17)/($I17*$N17/1000),0))</f>
        <v/>
      </c>
      <c r="W17" s="3">
        <f>IF($A17="","",$S17-$Q17-$L17-$R17)</f>
        <v/>
      </c>
      <c r="X17" s="3">
        <f>IF($A17="","",IFERROR(($Q17+$L17+$R17)/IF($T17&gt;0,$T17,$G17),0))</f>
        <v/>
      </c>
    </row>
    <row r="18">
      <c r="A18" s="2">
        <f>IFERROR(INDEX(reg_Flocks[FlockID],ROW()-1),"")</f>
        <v/>
      </c>
      <c r="B18" s="2">
        <f>IF($A18="","",IFERROR(INDEX(mst_Houses[HouseCode],MATCH(INDEX(reg_Flocks[HouseID],MATCH($A18,reg_Flocks[FlockID],0)),mst_Houses[HouseID],0)),""))</f>
        <v/>
      </c>
      <c r="C18" s="2">
        <f>IF($A18="","",IFERROR(INDEX(mst_Breeds[BreedName],MATCH(INDEX(reg_Flocks[BreedID],MATCH($A18,reg_Flocks[FlockID],0)),mst_Breeds[BreedID],0)),""))</f>
        <v/>
      </c>
      <c r="D18" s="6">
        <f>IF($A18="","",INDEX(reg_Flocks[PlacedDate],MATCH($A18,reg_Flocks[FlockID],0)))</f>
        <v/>
      </c>
      <c r="E18" s="2">
        <f>IF($A18="","",INDEX(reg_Flocks[Status],MATCH($A18,reg_Flocks[FlockID],0)))</f>
        <v/>
      </c>
      <c r="F18" s="7">
        <f>IF($A18="","",TODAY()-$D18)</f>
        <v/>
      </c>
      <c r="G18" s="7">
        <f>IF($A18="","",INDEX(reg_Flocks[InitialBirdCount],MATCH($A18,reg_Flocks[FlockID],0)))</f>
        <v/>
      </c>
      <c r="H18" s="7">
        <f>IF($A18="","",SUMIFS(reg_DailyMortality[MortalityCount],reg_DailyMortality[FlockID],$A18))</f>
        <v/>
      </c>
      <c r="I18" s="7">
        <f>IF($A18="","",$G18-$H18)</f>
        <v/>
      </c>
      <c r="J18" s="12">
        <f>IF($A18="","",IFERROR($I18/$G18,0))</f>
        <v/>
      </c>
      <c r="K18" s="7">
        <f>IF($A18="","",SUMIFS(reg_FeedConsumption[KgUsed],reg_FeedConsumption[FlockID],$A18))</f>
        <v/>
      </c>
      <c r="L18" s="3">
        <f>IF($A18="","",SUMIFS(reg_FeedConsumption[CostZMW],reg_FeedConsumption[FlockID],$A18))</f>
        <v/>
      </c>
      <c r="M18" s="6">
        <f>IF($A18="","",IFERROR(_xlfn.MAXIFS(reg_WeeklyWeights[Date],reg_WeeklyWeights[FlockID],$A18),""))</f>
        <v/>
      </c>
      <c r="N18" s="7">
        <f>IF($A18="","",IFERROR(SUMIFS(reg_WeeklyWeights[AvgBodyWeightG],reg_WeeklyWeights[FlockID],$A18,reg_WeeklyWeights[Date],$M18),0))</f>
        <v/>
      </c>
      <c r="O18" s="13">
        <f>IF($A18="","",IFERROR($K18/($I18*$N18/1000),0))</f>
        <v/>
      </c>
      <c r="P18" s="9">
        <f>IF($A18="","",IFERROR($N18/$F18,0))</f>
        <v/>
      </c>
      <c r="Q18" s="3">
        <f>IF($A18="","",SUMIFS(reg_Expenses[Amount_ZMW],reg_Expenses[FlockID],$A18))</f>
        <v/>
      </c>
      <c r="R18" s="3">
        <f>IF($A18="","",SUMIFS(reg_MedicineStock[TotalCost_ZMW],reg_MedicineStock[FlockID],$A18))</f>
        <v/>
      </c>
      <c r="S18" s="3">
        <f>IF($A18="","",SUMIFS(reg_Sales_Dispatch[TotalValue_ZMW],reg_Sales_Dispatch[FlockID],$A18))</f>
        <v/>
      </c>
      <c r="T18" s="7">
        <f>IF($A18="","",SUMIFS(reg_Sales_Dispatch[BirdsDispatched],reg_Sales_Dispatch[FlockID],$A18))</f>
        <v/>
      </c>
      <c r="U18" s="3">
        <f>IF($A18="","",IFERROR(($Q18+$L18+$R18)/$G18,0))</f>
        <v/>
      </c>
      <c r="V18" s="3">
        <f>IF($A18="","",IFERROR(($Q18+$L18+$R18)/($I18*$N18/1000),0))</f>
        <v/>
      </c>
      <c r="W18" s="3">
        <f>IF($A18="","",$S18-$Q18-$L18-$R18)</f>
        <v/>
      </c>
      <c r="X18" s="3">
        <f>IF($A18="","",IFERROR(($Q18+$L18+$R18)/IF($T18&gt;0,$T18,$G18),0))</f>
        <v/>
      </c>
    </row>
    <row r="19">
      <c r="A19" s="2">
        <f>IFERROR(INDEX(reg_Flocks[FlockID],ROW()-1),"")</f>
        <v/>
      </c>
      <c r="B19" s="2">
        <f>IF($A19="","",IFERROR(INDEX(mst_Houses[HouseCode],MATCH(INDEX(reg_Flocks[HouseID],MATCH($A19,reg_Flocks[FlockID],0)),mst_Houses[HouseID],0)),""))</f>
        <v/>
      </c>
      <c r="C19" s="2">
        <f>IF($A19="","",IFERROR(INDEX(mst_Breeds[BreedName],MATCH(INDEX(reg_Flocks[BreedID],MATCH($A19,reg_Flocks[FlockID],0)),mst_Breeds[BreedID],0)),""))</f>
        <v/>
      </c>
      <c r="D19" s="6">
        <f>IF($A19="","",INDEX(reg_Flocks[PlacedDate],MATCH($A19,reg_Flocks[FlockID],0)))</f>
        <v/>
      </c>
      <c r="E19" s="2">
        <f>IF($A19="","",INDEX(reg_Flocks[Status],MATCH($A19,reg_Flocks[FlockID],0)))</f>
        <v/>
      </c>
      <c r="F19" s="7">
        <f>IF($A19="","",TODAY()-$D19)</f>
        <v/>
      </c>
      <c r="G19" s="7">
        <f>IF($A19="","",INDEX(reg_Flocks[InitialBirdCount],MATCH($A19,reg_Flocks[FlockID],0)))</f>
        <v/>
      </c>
      <c r="H19" s="7">
        <f>IF($A19="","",SUMIFS(reg_DailyMortality[MortalityCount],reg_DailyMortality[FlockID],$A19))</f>
        <v/>
      </c>
      <c r="I19" s="7">
        <f>IF($A19="","",$G19-$H19)</f>
        <v/>
      </c>
      <c r="J19" s="12">
        <f>IF($A19="","",IFERROR($I19/$G19,0))</f>
        <v/>
      </c>
      <c r="K19" s="7">
        <f>IF($A19="","",SUMIFS(reg_FeedConsumption[KgUsed],reg_FeedConsumption[FlockID],$A19))</f>
        <v/>
      </c>
      <c r="L19" s="3">
        <f>IF($A19="","",SUMIFS(reg_FeedConsumption[CostZMW],reg_FeedConsumption[FlockID],$A19))</f>
        <v/>
      </c>
      <c r="M19" s="6">
        <f>IF($A19="","",IFERROR(_xlfn.MAXIFS(reg_WeeklyWeights[Date],reg_WeeklyWeights[FlockID],$A19),""))</f>
        <v/>
      </c>
      <c r="N19" s="7">
        <f>IF($A19="","",IFERROR(SUMIFS(reg_WeeklyWeights[AvgBodyWeightG],reg_WeeklyWeights[FlockID],$A19,reg_WeeklyWeights[Date],$M19),0))</f>
        <v/>
      </c>
      <c r="O19" s="13">
        <f>IF($A19="","",IFERROR($K19/($I19*$N19/1000),0))</f>
        <v/>
      </c>
      <c r="P19" s="9">
        <f>IF($A19="","",IFERROR($N19/$F19,0))</f>
        <v/>
      </c>
      <c r="Q19" s="3">
        <f>IF($A19="","",SUMIFS(reg_Expenses[Amount_ZMW],reg_Expenses[FlockID],$A19))</f>
        <v/>
      </c>
      <c r="R19" s="3">
        <f>IF($A19="","",SUMIFS(reg_MedicineStock[TotalCost_ZMW],reg_MedicineStock[FlockID],$A19))</f>
        <v/>
      </c>
      <c r="S19" s="3">
        <f>IF($A19="","",SUMIFS(reg_Sales_Dispatch[TotalValue_ZMW],reg_Sales_Dispatch[FlockID],$A19))</f>
        <v/>
      </c>
      <c r="T19" s="7">
        <f>IF($A19="","",SUMIFS(reg_Sales_Dispatch[BirdsDispatched],reg_Sales_Dispatch[FlockID],$A19))</f>
        <v/>
      </c>
      <c r="U19" s="3">
        <f>IF($A19="","",IFERROR(($Q19+$L19+$R19)/$G19,0))</f>
        <v/>
      </c>
      <c r="V19" s="3">
        <f>IF($A19="","",IFERROR(($Q19+$L19+$R19)/($I19*$N19/1000),0))</f>
        <v/>
      </c>
      <c r="W19" s="3">
        <f>IF($A19="","",$S19-$Q19-$L19-$R19)</f>
        <v/>
      </c>
      <c r="X19" s="3">
        <f>IF($A19="","",IFERROR(($Q19+$L19+$R19)/IF($T19&gt;0,$T19,$G19),0))</f>
        <v/>
      </c>
    </row>
    <row r="20">
      <c r="A20" s="2">
        <f>IFERROR(INDEX(reg_Flocks[FlockID],ROW()-1),"")</f>
        <v/>
      </c>
      <c r="B20" s="2">
        <f>IF($A20="","",IFERROR(INDEX(mst_Houses[HouseCode],MATCH(INDEX(reg_Flocks[HouseID],MATCH($A20,reg_Flocks[FlockID],0)),mst_Houses[HouseID],0)),""))</f>
        <v/>
      </c>
      <c r="C20" s="2">
        <f>IF($A20="","",IFERROR(INDEX(mst_Breeds[BreedName],MATCH(INDEX(reg_Flocks[BreedID],MATCH($A20,reg_Flocks[FlockID],0)),mst_Breeds[BreedID],0)),""))</f>
        <v/>
      </c>
      <c r="D20" s="6">
        <f>IF($A20="","",INDEX(reg_Flocks[PlacedDate],MATCH($A20,reg_Flocks[FlockID],0)))</f>
        <v/>
      </c>
      <c r="E20" s="2">
        <f>IF($A20="","",INDEX(reg_Flocks[Status],MATCH($A20,reg_Flocks[FlockID],0)))</f>
        <v/>
      </c>
      <c r="F20" s="7">
        <f>IF($A20="","",TODAY()-$D20)</f>
        <v/>
      </c>
      <c r="G20" s="7">
        <f>IF($A20="","",INDEX(reg_Flocks[InitialBirdCount],MATCH($A20,reg_Flocks[FlockID],0)))</f>
        <v/>
      </c>
      <c r="H20" s="7">
        <f>IF($A20="","",SUMIFS(reg_DailyMortality[MortalityCount],reg_DailyMortality[FlockID],$A20))</f>
        <v/>
      </c>
      <c r="I20" s="7">
        <f>IF($A20="","",$G20-$H20)</f>
        <v/>
      </c>
      <c r="J20" s="12">
        <f>IF($A20="","",IFERROR($I20/$G20,0))</f>
        <v/>
      </c>
      <c r="K20" s="7">
        <f>IF($A20="","",SUMIFS(reg_FeedConsumption[KgUsed],reg_FeedConsumption[FlockID],$A20))</f>
        <v/>
      </c>
      <c r="L20" s="3">
        <f>IF($A20="","",SUMIFS(reg_FeedConsumption[CostZMW],reg_FeedConsumption[FlockID],$A20))</f>
        <v/>
      </c>
      <c r="M20" s="6">
        <f>IF($A20="","",IFERROR(_xlfn.MAXIFS(reg_WeeklyWeights[Date],reg_WeeklyWeights[FlockID],$A20),""))</f>
        <v/>
      </c>
      <c r="N20" s="7">
        <f>IF($A20="","",IFERROR(SUMIFS(reg_WeeklyWeights[AvgBodyWeightG],reg_WeeklyWeights[FlockID],$A20,reg_WeeklyWeights[Date],$M20),0))</f>
        <v/>
      </c>
      <c r="O20" s="13">
        <f>IF($A20="","",IFERROR($K20/($I20*$N20/1000),0))</f>
        <v/>
      </c>
      <c r="P20" s="9">
        <f>IF($A20="","",IFERROR($N20/$F20,0))</f>
        <v/>
      </c>
      <c r="Q20" s="3">
        <f>IF($A20="","",SUMIFS(reg_Expenses[Amount_ZMW],reg_Expenses[FlockID],$A20))</f>
        <v/>
      </c>
      <c r="R20" s="3">
        <f>IF($A20="","",SUMIFS(reg_MedicineStock[TotalCost_ZMW],reg_MedicineStock[FlockID],$A20))</f>
        <v/>
      </c>
      <c r="S20" s="3">
        <f>IF($A20="","",SUMIFS(reg_Sales_Dispatch[TotalValue_ZMW],reg_Sales_Dispatch[FlockID],$A20))</f>
        <v/>
      </c>
      <c r="T20" s="7">
        <f>IF($A20="","",SUMIFS(reg_Sales_Dispatch[BirdsDispatched],reg_Sales_Dispatch[FlockID],$A20))</f>
        <v/>
      </c>
      <c r="U20" s="3">
        <f>IF($A20="","",IFERROR(($Q20+$L20+$R20)/$G20,0))</f>
        <v/>
      </c>
      <c r="V20" s="3">
        <f>IF($A20="","",IFERROR(($Q20+$L20+$R20)/($I20*$N20/1000),0))</f>
        <v/>
      </c>
      <c r="W20" s="3">
        <f>IF($A20="","",$S20-$Q20-$L20-$R20)</f>
        <v/>
      </c>
      <c r="X20" s="3">
        <f>IF($A20="","",IFERROR(($Q20+$L20+$R20)/IF($T20&gt;0,$T20,$G20),0))</f>
        <v/>
      </c>
    </row>
    <row r="21">
      <c r="A21" s="2">
        <f>IFERROR(INDEX(reg_Flocks[FlockID],ROW()-1),"")</f>
        <v/>
      </c>
      <c r="B21" s="2">
        <f>IF($A21="","",IFERROR(INDEX(mst_Houses[HouseCode],MATCH(INDEX(reg_Flocks[HouseID],MATCH($A21,reg_Flocks[FlockID],0)),mst_Houses[HouseID],0)),""))</f>
        <v/>
      </c>
      <c r="C21" s="2">
        <f>IF($A21="","",IFERROR(INDEX(mst_Breeds[BreedName],MATCH(INDEX(reg_Flocks[BreedID],MATCH($A21,reg_Flocks[FlockID],0)),mst_Breeds[BreedID],0)),""))</f>
        <v/>
      </c>
      <c r="D21" s="6">
        <f>IF($A21="","",INDEX(reg_Flocks[PlacedDate],MATCH($A21,reg_Flocks[FlockID],0)))</f>
        <v/>
      </c>
      <c r="E21" s="2">
        <f>IF($A21="","",INDEX(reg_Flocks[Status],MATCH($A21,reg_Flocks[FlockID],0)))</f>
        <v/>
      </c>
      <c r="F21" s="7">
        <f>IF($A21="","",TODAY()-$D21)</f>
        <v/>
      </c>
      <c r="G21" s="7">
        <f>IF($A21="","",INDEX(reg_Flocks[InitialBirdCount],MATCH($A21,reg_Flocks[FlockID],0)))</f>
        <v/>
      </c>
      <c r="H21" s="7">
        <f>IF($A21="","",SUMIFS(reg_DailyMortality[MortalityCount],reg_DailyMortality[FlockID],$A21))</f>
        <v/>
      </c>
      <c r="I21" s="7">
        <f>IF($A21="","",$G21-$H21)</f>
        <v/>
      </c>
      <c r="J21" s="12">
        <f>IF($A21="","",IFERROR($I21/$G21,0))</f>
        <v/>
      </c>
      <c r="K21" s="7">
        <f>IF($A21="","",SUMIFS(reg_FeedConsumption[KgUsed],reg_FeedConsumption[FlockID],$A21))</f>
        <v/>
      </c>
      <c r="L21" s="3">
        <f>IF($A21="","",SUMIFS(reg_FeedConsumption[CostZMW],reg_FeedConsumption[FlockID],$A21))</f>
        <v/>
      </c>
      <c r="M21" s="6">
        <f>IF($A21="","",IFERROR(_xlfn.MAXIFS(reg_WeeklyWeights[Date],reg_WeeklyWeights[FlockID],$A21),""))</f>
        <v/>
      </c>
      <c r="N21" s="7">
        <f>IF($A21="","",IFERROR(SUMIFS(reg_WeeklyWeights[AvgBodyWeightG],reg_WeeklyWeights[FlockID],$A21,reg_WeeklyWeights[Date],$M21),0))</f>
        <v/>
      </c>
      <c r="O21" s="13">
        <f>IF($A21="","",IFERROR($K21/($I21*$N21/1000),0))</f>
        <v/>
      </c>
      <c r="P21" s="9">
        <f>IF($A21="","",IFERROR($N21/$F21,0))</f>
        <v/>
      </c>
      <c r="Q21" s="3">
        <f>IF($A21="","",SUMIFS(reg_Expenses[Amount_ZMW],reg_Expenses[FlockID],$A21))</f>
        <v/>
      </c>
      <c r="R21" s="3">
        <f>IF($A21="","",SUMIFS(reg_MedicineStock[TotalCost_ZMW],reg_MedicineStock[FlockID],$A21))</f>
        <v/>
      </c>
      <c r="S21" s="3">
        <f>IF($A21="","",SUMIFS(reg_Sales_Dispatch[TotalValue_ZMW],reg_Sales_Dispatch[FlockID],$A21))</f>
        <v/>
      </c>
      <c r="T21" s="7">
        <f>IF($A21="","",SUMIFS(reg_Sales_Dispatch[BirdsDispatched],reg_Sales_Dispatch[FlockID],$A21))</f>
        <v/>
      </c>
      <c r="U21" s="3">
        <f>IF($A21="","",IFERROR(($Q21+$L21+$R21)/$G21,0))</f>
        <v/>
      </c>
      <c r="V21" s="3">
        <f>IF($A21="","",IFERROR(($Q21+$L21+$R21)/($I21*$N21/1000),0))</f>
        <v/>
      </c>
      <c r="W21" s="3">
        <f>IF($A21="","",$S21-$Q21-$L21-$R21)</f>
        <v/>
      </c>
      <c r="X21" s="3">
        <f>IF($A21="","",IFERROR(($Q21+$L21+$R21)/IF($T21&gt;0,$T21,$G21),0))</f>
        <v/>
      </c>
    </row>
    <row r="22">
      <c r="A22" s="2">
        <f>IFERROR(INDEX(reg_Flocks[FlockID],ROW()-1),"")</f>
        <v/>
      </c>
      <c r="B22" s="2">
        <f>IF($A22="","",IFERROR(INDEX(mst_Houses[HouseCode],MATCH(INDEX(reg_Flocks[HouseID],MATCH($A22,reg_Flocks[FlockID],0)),mst_Houses[HouseID],0)),""))</f>
        <v/>
      </c>
      <c r="C22" s="2">
        <f>IF($A22="","",IFERROR(INDEX(mst_Breeds[BreedName],MATCH(INDEX(reg_Flocks[BreedID],MATCH($A22,reg_Flocks[FlockID],0)),mst_Breeds[BreedID],0)),""))</f>
        <v/>
      </c>
      <c r="D22" s="6">
        <f>IF($A22="","",INDEX(reg_Flocks[PlacedDate],MATCH($A22,reg_Flocks[FlockID],0)))</f>
        <v/>
      </c>
      <c r="E22" s="2">
        <f>IF($A22="","",INDEX(reg_Flocks[Status],MATCH($A22,reg_Flocks[FlockID],0)))</f>
        <v/>
      </c>
      <c r="F22" s="7">
        <f>IF($A22="","",TODAY()-$D22)</f>
        <v/>
      </c>
      <c r="G22" s="7">
        <f>IF($A22="","",INDEX(reg_Flocks[InitialBirdCount],MATCH($A22,reg_Flocks[FlockID],0)))</f>
        <v/>
      </c>
      <c r="H22" s="7">
        <f>IF($A22="","",SUMIFS(reg_DailyMortality[MortalityCount],reg_DailyMortality[FlockID],$A22))</f>
        <v/>
      </c>
      <c r="I22" s="7">
        <f>IF($A22="","",$G22-$H22)</f>
        <v/>
      </c>
      <c r="J22" s="12">
        <f>IF($A22="","",IFERROR($I22/$G22,0))</f>
        <v/>
      </c>
      <c r="K22" s="7">
        <f>IF($A22="","",SUMIFS(reg_FeedConsumption[KgUsed],reg_FeedConsumption[FlockID],$A22))</f>
        <v/>
      </c>
      <c r="L22" s="3">
        <f>IF($A22="","",SUMIFS(reg_FeedConsumption[CostZMW],reg_FeedConsumption[FlockID],$A22))</f>
        <v/>
      </c>
      <c r="M22" s="6">
        <f>IF($A22="","",IFERROR(_xlfn.MAXIFS(reg_WeeklyWeights[Date],reg_WeeklyWeights[FlockID],$A22),""))</f>
        <v/>
      </c>
      <c r="N22" s="7">
        <f>IF($A22="","",IFERROR(SUMIFS(reg_WeeklyWeights[AvgBodyWeightG],reg_WeeklyWeights[FlockID],$A22,reg_WeeklyWeights[Date],$M22),0))</f>
        <v/>
      </c>
      <c r="O22" s="13">
        <f>IF($A22="","",IFERROR($K22/($I22*$N22/1000),0))</f>
        <v/>
      </c>
      <c r="P22" s="9">
        <f>IF($A22="","",IFERROR($N22/$F22,0))</f>
        <v/>
      </c>
      <c r="Q22" s="3">
        <f>IF($A22="","",SUMIFS(reg_Expenses[Amount_ZMW],reg_Expenses[FlockID],$A22))</f>
        <v/>
      </c>
      <c r="R22" s="3">
        <f>IF($A22="","",SUMIFS(reg_MedicineStock[TotalCost_ZMW],reg_MedicineStock[FlockID],$A22))</f>
        <v/>
      </c>
      <c r="S22" s="3">
        <f>IF($A22="","",SUMIFS(reg_Sales_Dispatch[TotalValue_ZMW],reg_Sales_Dispatch[FlockID],$A22))</f>
        <v/>
      </c>
      <c r="T22" s="7">
        <f>IF($A22="","",SUMIFS(reg_Sales_Dispatch[BirdsDispatched],reg_Sales_Dispatch[FlockID],$A22))</f>
        <v/>
      </c>
      <c r="U22" s="3">
        <f>IF($A22="","",IFERROR(($Q22+$L22+$R22)/$G22,0))</f>
        <v/>
      </c>
      <c r="V22" s="3">
        <f>IF($A22="","",IFERROR(($Q22+$L22+$R22)/($I22*$N22/1000),0))</f>
        <v/>
      </c>
      <c r="W22" s="3">
        <f>IF($A22="","",$S22-$Q22-$L22-$R22)</f>
        <v/>
      </c>
      <c r="X22" s="3">
        <f>IF($A22="","",IFERROR(($Q22+$L22+$R22)/IF($T22&gt;0,$T22,$G22),0))</f>
        <v/>
      </c>
    </row>
    <row r="23">
      <c r="A23" s="2">
        <f>IFERROR(INDEX(reg_Flocks[FlockID],ROW()-1),"")</f>
        <v/>
      </c>
      <c r="B23" s="2">
        <f>IF($A23="","",IFERROR(INDEX(mst_Houses[HouseCode],MATCH(INDEX(reg_Flocks[HouseID],MATCH($A23,reg_Flocks[FlockID],0)),mst_Houses[HouseID],0)),""))</f>
        <v/>
      </c>
      <c r="C23" s="2">
        <f>IF($A23="","",IFERROR(INDEX(mst_Breeds[BreedName],MATCH(INDEX(reg_Flocks[BreedID],MATCH($A23,reg_Flocks[FlockID],0)),mst_Breeds[BreedID],0)),""))</f>
        <v/>
      </c>
      <c r="D23" s="6">
        <f>IF($A23="","",INDEX(reg_Flocks[PlacedDate],MATCH($A23,reg_Flocks[FlockID],0)))</f>
        <v/>
      </c>
      <c r="E23" s="2">
        <f>IF($A23="","",INDEX(reg_Flocks[Status],MATCH($A23,reg_Flocks[FlockID],0)))</f>
        <v/>
      </c>
      <c r="F23" s="7">
        <f>IF($A23="","",TODAY()-$D23)</f>
        <v/>
      </c>
      <c r="G23" s="7">
        <f>IF($A23="","",INDEX(reg_Flocks[InitialBirdCount],MATCH($A23,reg_Flocks[FlockID],0)))</f>
        <v/>
      </c>
      <c r="H23" s="7">
        <f>IF($A23="","",SUMIFS(reg_DailyMortality[MortalityCount],reg_DailyMortality[FlockID],$A23))</f>
        <v/>
      </c>
      <c r="I23" s="7">
        <f>IF($A23="","",$G23-$H23)</f>
        <v/>
      </c>
      <c r="J23" s="12">
        <f>IF($A23="","",IFERROR($I23/$G23,0))</f>
        <v/>
      </c>
      <c r="K23" s="7">
        <f>IF($A23="","",SUMIFS(reg_FeedConsumption[KgUsed],reg_FeedConsumption[FlockID],$A23))</f>
        <v/>
      </c>
      <c r="L23" s="3">
        <f>IF($A23="","",SUMIFS(reg_FeedConsumption[CostZMW],reg_FeedConsumption[FlockID],$A23))</f>
        <v/>
      </c>
      <c r="M23" s="6">
        <f>IF($A23="","",IFERROR(_xlfn.MAXIFS(reg_WeeklyWeights[Date],reg_WeeklyWeights[FlockID],$A23),""))</f>
        <v/>
      </c>
      <c r="N23" s="7">
        <f>IF($A23="","",IFERROR(SUMIFS(reg_WeeklyWeights[AvgBodyWeightG],reg_WeeklyWeights[FlockID],$A23,reg_WeeklyWeights[Date],$M23),0))</f>
        <v/>
      </c>
      <c r="O23" s="13">
        <f>IF($A23="","",IFERROR($K23/($I23*$N23/1000),0))</f>
        <v/>
      </c>
      <c r="P23" s="9">
        <f>IF($A23="","",IFERROR($N23/$F23,0))</f>
        <v/>
      </c>
      <c r="Q23" s="3">
        <f>IF($A23="","",SUMIFS(reg_Expenses[Amount_ZMW],reg_Expenses[FlockID],$A23))</f>
        <v/>
      </c>
      <c r="R23" s="3">
        <f>IF($A23="","",SUMIFS(reg_MedicineStock[TotalCost_ZMW],reg_MedicineStock[FlockID],$A23))</f>
        <v/>
      </c>
      <c r="S23" s="3">
        <f>IF($A23="","",SUMIFS(reg_Sales_Dispatch[TotalValue_ZMW],reg_Sales_Dispatch[FlockID],$A23))</f>
        <v/>
      </c>
      <c r="T23" s="7">
        <f>IF($A23="","",SUMIFS(reg_Sales_Dispatch[BirdsDispatched],reg_Sales_Dispatch[FlockID],$A23))</f>
        <v/>
      </c>
      <c r="U23" s="3">
        <f>IF($A23="","",IFERROR(($Q23+$L23+$R23)/$G23,0))</f>
        <v/>
      </c>
      <c r="V23" s="3">
        <f>IF($A23="","",IFERROR(($Q23+$L23+$R23)/($I23*$N23/1000),0))</f>
        <v/>
      </c>
      <c r="W23" s="3">
        <f>IF($A23="","",$S23-$Q23-$L23-$R23)</f>
        <v/>
      </c>
      <c r="X23" s="3">
        <f>IF($A23="","",IFERROR(($Q23+$L23+$R23)/IF($T23&gt;0,$T23,$G23),0))</f>
        <v/>
      </c>
    </row>
    <row r="24">
      <c r="A24" s="2">
        <f>IFERROR(INDEX(reg_Flocks[FlockID],ROW()-1),"")</f>
        <v/>
      </c>
      <c r="B24" s="2">
        <f>IF($A24="","",IFERROR(INDEX(mst_Houses[HouseCode],MATCH(INDEX(reg_Flocks[HouseID],MATCH($A24,reg_Flocks[FlockID],0)),mst_Houses[HouseID],0)),""))</f>
        <v/>
      </c>
      <c r="C24" s="2">
        <f>IF($A24="","",IFERROR(INDEX(mst_Breeds[BreedName],MATCH(INDEX(reg_Flocks[BreedID],MATCH($A24,reg_Flocks[FlockID],0)),mst_Breeds[BreedID],0)),""))</f>
        <v/>
      </c>
      <c r="D24" s="6">
        <f>IF($A24="","",INDEX(reg_Flocks[PlacedDate],MATCH($A24,reg_Flocks[FlockID],0)))</f>
        <v/>
      </c>
      <c r="E24" s="2">
        <f>IF($A24="","",INDEX(reg_Flocks[Status],MATCH($A24,reg_Flocks[FlockID],0)))</f>
        <v/>
      </c>
      <c r="F24" s="7">
        <f>IF($A24="","",TODAY()-$D24)</f>
        <v/>
      </c>
      <c r="G24" s="7">
        <f>IF($A24="","",INDEX(reg_Flocks[InitialBirdCount],MATCH($A24,reg_Flocks[FlockID],0)))</f>
        <v/>
      </c>
      <c r="H24" s="7">
        <f>IF($A24="","",SUMIFS(reg_DailyMortality[MortalityCount],reg_DailyMortality[FlockID],$A24))</f>
        <v/>
      </c>
      <c r="I24" s="7">
        <f>IF($A24="","",$G24-$H24)</f>
        <v/>
      </c>
      <c r="J24" s="12">
        <f>IF($A24="","",IFERROR($I24/$G24,0))</f>
        <v/>
      </c>
      <c r="K24" s="7">
        <f>IF($A24="","",SUMIFS(reg_FeedConsumption[KgUsed],reg_FeedConsumption[FlockID],$A24))</f>
        <v/>
      </c>
      <c r="L24" s="3">
        <f>IF($A24="","",SUMIFS(reg_FeedConsumption[CostZMW],reg_FeedConsumption[FlockID],$A24))</f>
        <v/>
      </c>
      <c r="M24" s="6">
        <f>IF($A24="","",IFERROR(_xlfn.MAXIFS(reg_WeeklyWeights[Date],reg_WeeklyWeights[FlockID],$A24),""))</f>
        <v/>
      </c>
      <c r="N24" s="7">
        <f>IF($A24="","",IFERROR(SUMIFS(reg_WeeklyWeights[AvgBodyWeightG],reg_WeeklyWeights[FlockID],$A24,reg_WeeklyWeights[Date],$M24),0))</f>
        <v/>
      </c>
      <c r="O24" s="13">
        <f>IF($A24="","",IFERROR($K24/($I24*$N24/1000),0))</f>
        <v/>
      </c>
      <c r="P24" s="9">
        <f>IF($A24="","",IFERROR($N24/$F24,0))</f>
        <v/>
      </c>
      <c r="Q24" s="3">
        <f>IF($A24="","",SUMIFS(reg_Expenses[Amount_ZMW],reg_Expenses[FlockID],$A24))</f>
        <v/>
      </c>
      <c r="R24" s="3">
        <f>IF($A24="","",SUMIFS(reg_MedicineStock[TotalCost_ZMW],reg_MedicineStock[FlockID],$A24))</f>
        <v/>
      </c>
      <c r="S24" s="3">
        <f>IF($A24="","",SUMIFS(reg_Sales_Dispatch[TotalValue_ZMW],reg_Sales_Dispatch[FlockID],$A24))</f>
        <v/>
      </c>
      <c r="T24" s="7">
        <f>IF($A24="","",SUMIFS(reg_Sales_Dispatch[BirdsDispatched],reg_Sales_Dispatch[FlockID],$A24))</f>
        <v/>
      </c>
      <c r="U24" s="3">
        <f>IF($A24="","",IFERROR(($Q24+$L24+$R24)/$G24,0))</f>
        <v/>
      </c>
      <c r="V24" s="3">
        <f>IF($A24="","",IFERROR(($Q24+$L24+$R24)/($I24*$N24/1000),0))</f>
        <v/>
      </c>
      <c r="W24" s="3">
        <f>IF($A24="","",$S24-$Q24-$L24-$R24)</f>
        <v/>
      </c>
      <c r="X24" s="3">
        <f>IF($A24="","",IFERROR(($Q24+$L24+$R24)/IF($T24&gt;0,$T24,$G24),0))</f>
        <v/>
      </c>
    </row>
    <row r="25">
      <c r="A25" s="2">
        <f>IFERROR(INDEX(reg_Flocks[FlockID],ROW()-1),"")</f>
        <v/>
      </c>
      <c r="B25" s="2">
        <f>IF($A25="","",IFERROR(INDEX(mst_Houses[HouseCode],MATCH(INDEX(reg_Flocks[HouseID],MATCH($A25,reg_Flocks[FlockID],0)),mst_Houses[HouseID],0)),""))</f>
        <v/>
      </c>
      <c r="C25" s="2">
        <f>IF($A25="","",IFERROR(INDEX(mst_Breeds[BreedName],MATCH(INDEX(reg_Flocks[BreedID],MATCH($A25,reg_Flocks[FlockID],0)),mst_Breeds[BreedID],0)),""))</f>
        <v/>
      </c>
      <c r="D25" s="6">
        <f>IF($A25="","",INDEX(reg_Flocks[PlacedDate],MATCH($A25,reg_Flocks[FlockID],0)))</f>
        <v/>
      </c>
      <c r="E25" s="2">
        <f>IF($A25="","",INDEX(reg_Flocks[Status],MATCH($A25,reg_Flocks[FlockID],0)))</f>
        <v/>
      </c>
      <c r="F25" s="7">
        <f>IF($A25="","",TODAY()-$D25)</f>
        <v/>
      </c>
      <c r="G25" s="7">
        <f>IF($A25="","",INDEX(reg_Flocks[InitialBirdCount],MATCH($A25,reg_Flocks[FlockID],0)))</f>
        <v/>
      </c>
      <c r="H25" s="7">
        <f>IF($A25="","",SUMIFS(reg_DailyMortality[MortalityCount],reg_DailyMortality[FlockID],$A25))</f>
        <v/>
      </c>
      <c r="I25" s="7">
        <f>IF($A25="","",$G25-$H25)</f>
        <v/>
      </c>
      <c r="J25" s="12">
        <f>IF($A25="","",IFERROR($I25/$G25,0))</f>
        <v/>
      </c>
      <c r="K25" s="7">
        <f>IF($A25="","",SUMIFS(reg_FeedConsumption[KgUsed],reg_FeedConsumption[FlockID],$A25))</f>
        <v/>
      </c>
      <c r="L25" s="3">
        <f>IF($A25="","",SUMIFS(reg_FeedConsumption[CostZMW],reg_FeedConsumption[FlockID],$A25))</f>
        <v/>
      </c>
      <c r="M25" s="6">
        <f>IF($A25="","",IFERROR(_xlfn.MAXIFS(reg_WeeklyWeights[Date],reg_WeeklyWeights[FlockID],$A25),""))</f>
        <v/>
      </c>
      <c r="N25" s="7">
        <f>IF($A25="","",IFERROR(SUMIFS(reg_WeeklyWeights[AvgBodyWeightG],reg_WeeklyWeights[FlockID],$A25,reg_WeeklyWeights[Date],$M25),0))</f>
        <v/>
      </c>
      <c r="O25" s="13">
        <f>IF($A25="","",IFERROR($K25/($I25*$N25/1000),0))</f>
        <v/>
      </c>
      <c r="P25" s="9">
        <f>IF($A25="","",IFERROR($N25/$F25,0))</f>
        <v/>
      </c>
      <c r="Q25" s="3">
        <f>IF($A25="","",SUMIFS(reg_Expenses[Amount_ZMW],reg_Expenses[FlockID],$A25))</f>
        <v/>
      </c>
      <c r="R25" s="3">
        <f>IF($A25="","",SUMIFS(reg_MedicineStock[TotalCost_ZMW],reg_MedicineStock[FlockID],$A25))</f>
        <v/>
      </c>
      <c r="S25" s="3">
        <f>IF($A25="","",SUMIFS(reg_Sales_Dispatch[TotalValue_ZMW],reg_Sales_Dispatch[FlockID],$A25))</f>
        <v/>
      </c>
      <c r="T25" s="7">
        <f>IF($A25="","",SUMIFS(reg_Sales_Dispatch[BirdsDispatched],reg_Sales_Dispatch[FlockID],$A25))</f>
        <v/>
      </c>
      <c r="U25" s="3">
        <f>IF($A25="","",IFERROR(($Q25+$L25+$R25)/$G25,0))</f>
        <v/>
      </c>
      <c r="V25" s="3">
        <f>IF($A25="","",IFERROR(($Q25+$L25+$R25)/($I25*$N25/1000),0))</f>
        <v/>
      </c>
      <c r="W25" s="3">
        <f>IF($A25="","",$S25-$Q25-$L25-$R25)</f>
        <v/>
      </c>
      <c r="X25" s="3">
        <f>IF($A25="","",IFERROR(($Q25+$L25+$R25)/IF($T25&gt;0,$T25,$G25),0))</f>
        <v/>
      </c>
    </row>
    <row r="26">
      <c r="A26" s="2">
        <f>IFERROR(INDEX(reg_Flocks[FlockID],ROW()-1),"")</f>
        <v/>
      </c>
      <c r="B26" s="2">
        <f>IF($A26="","",IFERROR(INDEX(mst_Houses[HouseCode],MATCH(INDEX(reg_Flocks[HouseID],MATCH($A26,reg_Flocks[FlockID],0)),mst_Houses[HouseID],0)),""))</f>
        <v/>
      </c>
      <c r="C26" s="2">
        <f>IF($A26="","",IFERROR(INDEX(mst_Breeds[BreedName],MATCH(INDEX(reg_Flocks[BreedID],MATCH($A26,reg_Flocks[FlockID],0)),mst_Breeds[BreedID],0)),""))</f>
        <v/>
      </c>
      <c r="D26" s="6">
        <f>IF($A26="","",INDEX(reg_Flocks[PlacedDate],MATCH($A26,reg_Flocks[FlockID],0)))</f>
        <v/>
      </c>
      <c r="E26" s="2">
        <f>IF($A26="","",INDEX(reg_Flocks[Status],MATCH($A26,reg_Flocks[FlockID],0)))</f>
        <v/>
      </c>
      <c r="F26" s="7">
        <f>IF($A26="","",TODAY()-$D26)</f>
        <v/>
      </c>
      <c r="G26" s="7">
        <f>IF($A26="","",INDEX(reg_Flocks[InitialBirdCount],MATCH($A26,reg_Flocks[FlockID],0)))</f>
        <v/>
      </c>
      <c r="H26" s="7">
        <f>IF($A26="","",SUMIFS(reg_DailyMortality[MortalityCount],reg_DailyMortality[FlockID],$A26))</f>
        <v/>
      </c>
      <c r="I26" s="7">
        <f>IF($A26="","",$G26-$H26)</f>
        <v/>
      </c>
      <c r="J26" s="12">
        <f>IF($A26="","",IFERROR($I26/$G26,0))</f>
        <v/>
      </c>
      <c r="K26" s="7">
        <f>IF($A26="","",SUMIFS(reg_FeedConsumption[KgUsed],reg_FeedConsumption[FlockID],$A26))</f>
        <v/>
      </c>
      <c r="L26" s="3">
        <f>IF($A26="","",SUMIFS(reg_FeedConsumption[CostZMW],reg_FeedConsumption[FlockID],$A26))</f>
        <v/>
      </c>
      <c r="M26" s="6">
        <f>IF($A26="","",IFERROR(_xlfn.MAXIFS(reg_WeeklyWeights[Date],reg_WeeklyWeights[FlockID],$A26),""))</f>
        <v/>
      </c>
      <c r="N26" s="7">
        <f>IF($A26="","",IFERROR(SUMIFS(reg_WeeklyWeights[AvgBodyWeightG],reg_WeeklyWeights[FlockID],$A26,reg_WeeklyWeights[Date],$M26),0))</f>
        <v/>
      </c>
      <c r="O26" s="13">
        <f>IF($A26="","",IFERROR($K26/($I26*$N26/1000),0))</f>
        <v/>
      </c>
      <c r="P26" s="9">
        <f>IF($A26="","",IFERROR($N26/$F26,0))</f>
        <v/>
      </c>
      <c r="Q26" s="3">
        <f>IF($A26="","",SUMIFS(reg_Expenses[Amount_ZMW],reg_Expenses[FlockID],$A26))</f>
        <v/>
      </c>
      <c r="R26" s="3">
        <f>IF($A26="","",SUMIFS(reg_MedicineStock[TotalCost_ZMW],reg_MedicineStock[FlockID],$A26))</f>
        <v/>
      </c>
      <c r="S26" s="3">
        <f>IF($A26="","",SUMIFS(reg_Sales_Dispatch[TotalValue_ZMW],reg_Sales_Dispatch[FlockID],$A26))</f>
        <v/>
      </c>
      <c r="T26" s="7">
        <f>IF($A26="","",SUMIFS(reg_Sales_Dispatch[BirdsDispatched],reg_Sales_Dispatch[FlockID],$A26))</f>
        <v/>
      </c>
      <c r="U26" s="3">
        <f>IF($A26="","",IFERROR(($Q26+$L26+$R26)/$G26,0))</f>
        <v/>
      </c>
      <c r="V26" s="3">
        <f>IF($A26="","",IFERROR(($Q26+$L26+$R26)/($I26*$N26/1000),0))</f>
        <v/>
      </c>
      <c r="W26" s="3">
        <f>IF($A26="","",$S26-$Q26-$L26-$R26)</f>
        <v/>
      </c>
      <c r="X26" s="3">
        <f>IF($A26="","",IFERROR(($Q26+$L26+$R26)/IF($T26&gt;0,$T26,$G26),0))</f>
        <v/>
      </c>
    </row>
    <row r="27">
      <c r="A27" s="2">
        <f>IFERROR(INDEX(reg_Flocks[FlockID],ROW()-1),"")</f>
        <v/>
      </c>
      <c r="B27" s="2">
        <f>IF($A27="","",IFERROR(INDEX(mst_Houses[HouseCode],MATCH(INDEX(reg_Flocks[HouseID],MATCH($A27,reg_Flocks[FlockID],0)),mst_Houses[HouseID],0)),""))</f>
        <v/>
      </c>
      <c r="C27" s="2">
        <f>IF($A27="","",IFERROR(INDEX(mst_Breeds[BreedName],MATCH(INDEX(reg_Flocks[BreedID],MATCH($A27,reg_Flocks[FlockID],0)),mst_Breeds[BreedID],0)),""))</f>
        <v/>
      </c>
      <c r="D27" s="6">
        <f>IF($A27="","",INDEX(reg_Flocks[PlacedDate],MATCH($A27,reg_Flocks[FlockID],0)))</f>
        <v/>
      </c>
      <c r="E27" s="2">
        <f>IF($A27="","",INDEX(reg_Flocks[Status],MATCH($A27,reg_Flocks[FlockID],0)))</f>
        <v/>
      </c>
      <c r="F27" s="7">
        <f>IF($A27="","",TODAY()-$D27)</f>
        <v/>
      </c>
      <c r="G27" s="7">
        <f>IF($A27="","",INDEX(reg_Flocks[InitialBirdCount],MATCH($A27,reg_Flocks[FlockID],0)))</f>
        <v/>
      </c>
      <c r="H27" s="7">
        <f>IF($A27="","",SUMIFS(reg_DailyMortality[MortalityCount],reg_DailyMortality[FlockID],$A27))</f>
        <v/>
      </c>
      <c r="I27" s="7">
        <f>IF($A27="","",$G27-$H27)</f>
        <v/>
      </c>
      <c r="J27" s="12">
        <f>IF($A27="","",IFERROR($I27/$G27,0))</f>
        <v/>
      </c>
      <c r="K27" s="7">
        <f>IF($A27="","",SUMIFS(reg_FeedConsumption[KgUsed],reg_FeedConsumption[FlockID],$A27))</f>
        <v/>
      </c>
      <c r="L27" s="3">
        <f>IF($A27="","",SUMIFS(reg_FeedConsumption[CostZMW],reg_FeedConsumption[FlockID],$A27))</f>
        <v/>
      </c>
      <c r="M27" s="6">
        <f>IF($A27="","",IFERROR(_xlfn.MAXIFS(reg_WeeklyWeights[Date],reg_WeeklyWeights[FlockID],$A27),""))</f>
        <v/>
      </c>
      <c r="N27" s="7">
        <f>IF($A27="","",IFERROR(SUMIFS(reg_WeeklyWeights[AvgBodyWeightG],reg_WeeklyWeights[FlockID],$A27,reg_WeeklyWeights[Date],$M27),0))</f>
        <v/>
      </c>
      <c r="O27" s="13">
        <f>IF($A27="","",IFERROR($K27/($I27*$N27/1000),0))</f>
        <v/>
      </c>
      <c r="P27" s="9">
        <f>IF($A27="","",IFERROR($N27/$F27,0))</f>
        <v/>
      </c>
      <c r="Q27" s="3">
        <f>IF($A27="","",SUMIFS(reg_Expenses[Amount_ZMW],reg_Expenses[FlockID],$A27))</f>
        <v/>
      </c>
      <c r="R27" s="3">
        <f>IF($A27="","",SUMIFS(reg_MedicineStock[TotalCost_ZMW],reg_MedicineStock[FlockID],$A27))</f>
        <v/>
      </c>
      <c r="S27" s="3">
        <f>IF($A27="","",SUMIFS(reg_Sales_Dispatch[TotalValue_ZMW],reg_Sales_Dispatch[FlockID],$A27))</f>
        <v/>
      </c>
      <c r="T27" s="7">
        <f>IF($A27="","",SUMIFS(reg_Sales_Dispatch[BirdsDispatched],reg_Sales_Dispatch[FlockID],$A27))</f>
        <v/>
      </c>
      <c r="U27" s="3">
        <f>IF($A27="","",IFERROR(($Q27+$L27+$R27)/$G27,0))</f>
        <v/>
      </c>
      <c r="V27" s="3">
        <f>IF($A27="","",IFERROR(($Q27+$L27+$R27)/($I27*$N27/1000),0))</f>
        <v/>
      </c>
      <c r="W27" s="3">
        <f>IF($A27="","",$S27-$Q27-$L27-$R27)</f>
        <v/>
      </c>
      <c r="X27" s="3">
        <f>IF($A27="","",IFERROR(($Q27+$L27+$R27)/IF($T27&gt;0,$T27,$G27),0))</f>
        <v/>
      </c>
    </row>
    <row r="28">
      <c r="A28" s="2">
        <f>IFERROR(INDEX(reg_Flocks[FlockID],ROW()-1),"")</f>
        <v/>
      </c>
      <c r="B28" s="2">
        <f>IF($A28="","",IFERROR(INDEX(mst_Houses[HouseCode],MATCH(INDEX(reg_Flocks[HouseID],MATCH($A28,reg_Flocks[FlockID],0)),mst_Houses[HouseID],0)),""))</f>
        <v/>
      </c>
      <c r="C28" s="2">
        <f>IF($A28="","",IFERROR(INDEX(mst_Breeds[BreedName],MATCH(INDEX(reg_Flocks[BreedID],MATCH($A28,reg_Flocks[FlockID],0)),mst_Breeds[BreedID],0)),""))</f>
        <v/>
      </c>
      <c r="D28" s="6">
        <f>IF($A28="","",INDEX(reg_Flocks[PlacedDate],MATCH($A28,reg_Flocks[FlockID],0)))</f>
        <v/>
      </c>
      <c r="E28" s="2">
        <f>IF($A28="","",INDEX(reg_Flocks[Status],MATCH($A28,reg_Flocks[FlockID],0)))</f>
        <v/>
      </c>
      <c r="F28" s="7">
        <f>IF($A28="","",TODAY()-$D28)</f>
        <v/>
      </c>
      <c r="G28" s="7">
        <f>IF($A28="","",INDEX(reg_Flocks[InitialBirdCount],MATCH($A28,reg_Flocks[FlockID],0)))</f>
        <v/>
      </c>
      <c r="H28" s="7">
        <f>IF($A28="","",SUMIFS(reg_DailyMortality[MortalityCount],reg_DailyMortality[FlockID],$A28))</f>
        <v/>
      </c>
      <c r="I28" s="7">
        <f>IF($A28="","",$G28-$H28)</f>
        <v/>
      </c>
      <c r="J28" s="12">
        <f>IF($A28="","",IFERROR($I28/$G28,0))</f>
        <v/>
      </c>
      <c r="K28" s="7">
        <f>IF($A28="","",SUMIFS(reg_FeedConsumption[KgUsed],reg_FeedConsumption[FlockID],$A28))</f>
        <v/>
      </c>
      <c r="L28" s="3">
        <f>IF($A28="","",SUMIFS(reg_FeedConsumption[CostZMW],reg_FeedConsumption[FlockID],$A28))</f>
        <v/>
      </c>
      <c r="M28" s="6">
        <f>IF($A28="","",IFERROR(_xlfn.MAXIFS(reg_WeeklyWeights[Date],reg_WeeklyWeights[FlockID],$A28),""))</f>
        <v/>
      </c>
      <c r="N28" s="7">
        <f>IF($A28="","",IFERROR(SUMIFS(reg_WeeklyWeights[AvgBodyWeightG],reg_WeeklyWeights[FlockID],$A28,reg_WeeklyWeights[Date],$M28),0))</f>
        <v/>
      </c>
      <c r="O28" s="13">
        <f>IF($A28="","",IFERROR($K28/($I28*$N28/1000),0))</f>
        <v/>
      </c>
      <c r="P28" s="9">
        <f>IF($A28="","",IFERROR($N28/$F28,0))</f>
        <v/>
      </c>
      <c r="Q28" s="3">
        <f>IF($A28="","",SUMIFS(reg_Expenses[Amount_ZMW],reg_Expenses[FlockID],$A28))</f>
        <v/>
      </c>
      <c r="R28" s="3">
        <f>IF($A28="","",SUMIFS(reg_MedicineStock[TotalCost_ZMW],reg_MedicineStock[FlockID],$A28))</f>
        <v/>
      </c>
      <c r="S28" s="3">
        <f>IF($A28="","",SUMIFS(reg_Sales_Dispatch[TotalValue_ZMW],reg_Sales_Dispatch[FlockID],$A28))</f>
        <v/>
      </c>
      <c r="T28" s="7">
        <f>IF($A28="","",SUMIFS(reg_Sales_Dispatch[BirdsDispatched],reg_Sales_Dispatch[FlockID],$A28))</f>
        <v/>
      </c>
      <c r="U28" s="3">
        <f>IF($A28="","",IFERROR(($Q28+$L28+$R28)/$G28,0))</f>
        <v/>
      </c>
      <c r="V28" s="3">
        <f>IF($A28="","",IFERROR(($Q28+$L28+$R28)/($I28*$N28/1000),0))</f>
        <v/>
      </c>
      <c r="W28" s="3">
        <f>IF($A28="","",$S28-$Q28-$L28-$R28)</f>
        <v/>
      </c>
      <c r="X28" s="3">
        <f>IF($A28="","",IFERROR(($Q28+$L28+$R28)/IF($T28&gt;0,$T28,$G28),0))</f>
        <v/>
      </c>
    </row>
    <row r="29">
      <c r="A29" s="2">
        <f>IFERROR(INDEX(reg_Flocks[FlockID],ROW()-1),"")</f>
        <v/>
      </c>
      <c r="B29" s="2">
        <f>IF($A29="","",IFERROR(INDEX(mst_Houses[HouseCode],MATCH(INDEX(reg_Flocks[HouseID],MATCH($A29,reg_Flocks[FlockID],0)),mst_Houses[HouseID],0)),""))</f>
        <v/>
      </c>
      <c r="C29" s="2">
        <f>IF($A29="","",IFERROR(INDEX(mst_Breeds[BreedName],MATCH(INDEX(reg_Flocks[BreedID],MATCH($A29,reg_Flocks[FlockID],0)),mst_Breeds[BreedID],0)),""))</f>
        <v/>
      </c>
      <c r="D29" s="6">
        <f>IF($A29="","",INDEX(reg_Flocks[PlacedDate],MATCH($A29,reg_Flocks[FlockID],0)))</f>
        <v/>
      </c>
      <c r="E29" s="2">
        <f>IF($A29="","",INDEX(reg_Flocks[Status],MATCH($A29,reg_Flocks[FlockID],0)))</f>
        <v/>
      </c>
      <c r="F29" s="7">
        <f>IF($A29="","",TODAY()-$D29)</f>
        <v/>
      </c>
      <c r="G29" s="7">
        <f>IF($A29="","",INDEX(reg_Flocks[InitialBirdCount],MATCH($A29,reg_Flocks[FlockID],0)))</f>
        <v/>
      </c>
      <c r="H29" s="7">
        <f>IF($A29="","",SUMIFS(reg_DailyMortality[MortalityCount],reg_DailyMortality[FlockID],$A29))</f>
        <v/>
      </c>
      <c r="I29" s="7">
        <f>IF($A29="","",$G29-$H29)</f>
        <v/>
      </c>
      <c r="J29" s="12">
        <f>IF($A29="","",IFERROR($I29/$G29,0))</f>
        <v/>
      </c>
      <c r="K29" s="7">
        <f>IF($A29="","",SUMIFS(reg_FeedConsumption[KgUsed],reg_FeedConsumption[FlockID],$A29))</f>
        <v/>
      </c>
      <c r="L29" s="3">
        <f>IF($A29="","",SUMIFS(reg_FeedConsumption[CostZMW],reg_FeedConsumption[FlockID],$A29))</f>
        <v/>
      </c>
      <c r="M29" s="6">
        <f>IF($A29="","",IFERROR(_xlfn.MAXIFS(reg_WeeklyWeights[Date],reg_WeeklyWeights[FlockID],$A29),""))</f>
        <v/>
      </c>
      <c r="N29" s="7">
        <f>IF($A29="","",IFERROR(SUMIFS(reg_WeeklyWeights[AvgBodyWeightG],reg_WeeklyWeights[FlockID],$A29,reg_WeeklyWeights[Date],$M29),0))</f>
        <v/>
      </c>
      <c r="O29" s="13">
        <f>IF($A29="","",IFERROR($K29/($I29*$N29/1000),0))</f>
        <v/>
      </c>
      <c r="P29" s="9">
        <f>IF($A29="","",IFERROR($N29/$F29,0))</f>
        <v/>
      </c>
      <c r="Q29" s="3">
        <f>IF($A29="","",SUMIFS(reg_Expenses[Amount_ZMW],reg_Expenses[FlockID],$A29))</f>
        <v/>
      </c>
      <c r="R29" s="3">
        <f>IF($A29="","",SUMIFS(reg_MedicineStock[TotalCost_ZMW],reg_MedicineStock[FlockID],$A29))</f>
        <v/>
      </c>
      <c r="S29" s="3">
        <f>IF($A29="","",SUMIFS(reg_Sales_Dispatch[TotalValue_ZMW],reg_Sales_Dispatch[FlockID],$A29))</f>
        <v/>
      </c>
      <c r="T29" s="7">
        <f>IF($A29="","",SUMIFS(reg_Sales_Dispatch[BirdsDispatched],reg_Sales_Dispatch[FlockID],$A29))</f>
        <v/>
      </c>
      <c r="U29" s="3">
        <f>IF($A29="","",IFERROR(($Q29+$L29+$R29)/$G29,0))</f>
        <v/>
      </c>
      <c r="V29" s="3">
        <f>IF($A29="","",IFERROR(($Q29+$L29+$R29)/($I29*$N29/1000),0))</f>
        <v/>
      </c>
      <c r="W29" s="3">
        <f>IF($A29="","",$S29-$Q29-$L29-$R29)</f>
        <v/>
      </c>
      <c r="X29" s="3">
        <f>IF($A29="","",IFERROR(($Q29+$L29+$R29)/IF($T29&gt;0,$T29,$G29),0))</f>
        <v/>
      </c>
    </row>
    <row r="30">
      <c r="A30" s="2">
        <f>IFERROR(INDEX(reg_Flocks[FlockID],ROW()-1),"")</f>
        <v/>
      </c>
      <c r="B30" s="2">
        <f>IF($A30="","",IFERROR(INDEX(mst_Houses[HouseCode],MATCH(INDEX(reg_Flocks[HouseID],MATCH($A30,reg_Flocks[FlockID],0)),mst_Houses[HouseID],0)),""))</f>
        <v/>
      </c>
      <c r="C30" s="2">
        <f>IF($A30="","",IFERROR(INDEX(mst_Breeds[BreedName],MATCH(INDEX(reg_Flocks[BreedID],MATCH($A30,reg_Flocks[FlockID],0)),mst_Breeds[BreedID],0)),""))</f>
        <v/>
      </c>
      <c r="D30" s="6">
        <f>IF($A30="","",INDEX(reg_Flocks[PlacedDate],MATCH($A30,reg_Flocks[FlockID],0)))</f>
        <v/>
      </c>
      <c r="E30" s="2">
        <f>IF($A30="","",INDEX(reg_Flocks[Status],MATCH($A30,reg_Flocks[FlockID],0)))</f>
        <v/>
      </c>
      <c r="F30" s="7">
        <f>IF($A30="","",TODAY()-$D30)</f>
        <v/>
      </c>
      <c r="G30" s="7">
        <f>IF($A30="","",INDEX(reg_Flocks[InitialBirdCount],MATCH($A30,reg_Flocks[FlockID],0)))</f>
        <v/>
      </c>
      <c r="H30" s="7">
        <f>IF($A30="","",SUMIFS(reg_DailyMortality[MortalityCount],reg_DailyMortality[FlockID],$A30))</f>
        <v/>
      </c>
      <c r="I30" s="7">
        <f>IF($A30="","",$G30-$H30)</f>
        <v/>
      </c>
      <c r="J30" s="12">
        <f>IF($A30="","",IFERROR($I30/$G30,0))</f>
        <v/>
      </c>
      <c r="K30" s="7">
        <f>IF($A30="","",SUMIFS(reg_FeedConsumption[KgUsed],reg_FeedConsumption[FlockID],$A30))</f>
        <v/>
      </c>
      <c r="L30" s="3">
        <f>IF($A30="","",SUMIFS(reg_FeedConsumption[CostZMW],reg_FeedConsumption[FlockID],$A30))</f>
        <v/>
      </c>
      <c r="M30" s="6">
        <f>IF($A30="","",IFERROR(_xlfn.MAXIFS(reg_WeeklyWeights[Date],reg_WeeklyWeights[FlockID],$A30),""))</f>
        <v/>
      </c>
      <c r="N30" s="7">
        <f>IF($A30="","",IFERROR(SUMIFS(reg_WeeklyWeights[AvgBodyWeightG],reg_WeeklyWeights[FlockID],$A30,reg_WeeklyWeights[Date],$M30),0))</f>
        <v/>
      </c>
      <c r="O30" s="13">
        <f>IF($A30="","",IFERROR($K30/($I30*$N30/1000),0))</f>
        <v/>
      </c>
      <c r="P30" s="9">
        <f>IF($A30="","",IFERROR($N30/$F30,0))</f>
        <v/>
      </c>
      <c r="Q30" s="3">
        <f>IF($A30="","",SUMIFS(reg_Expenses[Amount_ZMW],reg_Expenses[FlockID],$A30))</f>
        <v/>
      </c>
      <c r="R30" s="3">
        <f>IF($A30="","",SUMIFS(reg_MedicineStock[TotalCost_ZMW],reg_MedicineStock[FlockID],$A30))</f>
        <v/>
      </c>
      <c r="S30" s="3">
        <f>IF($A30="","",SUMIFS(reg_Sales_Dispatch[TotalValue_ZMW],reg_Sales_Dispatch[FlockID],$A30))</f>
        <v/>
      </c>
      <c r="T30" s="7">
        <f>IF($A30="","",SUMIFS(reg_Sales_Dispatch[BirdsDispatched],reg_Sales_Dispatch[FlockID],$A30))</f>
        <v/>
      </c>
      <c r="U30" s="3">
        <f>IF($A30="","",IFERROR(($Q30+$L30+$R30)/$G30,0))</f>
        <v/>
      </c>
      <c r="V30" s="3">
        <f>IF($A30="","",IFERROR(($Q30+$L30+$R30)/($I30*$N30/1000),0))</f>
        <v/>
      </c>
      <c r="W30" s="3">
        <f>IF($A30="","",$S30-$Q30-$L30-$R30)</f>
        <v/>
      </c>
      <c r="X30" s="3">
        <f>IF($A30="","",IFERROR(($Q30+$L30+$R30)/IF($T30&gt;0,$T30,$G30),0))</f>
        <v/>
      </c>
    </row>
    <row r="31">
      <c r="A31" s="2">
        <f>IFERROR(INDEX(reg_Flocks[FlockID],ROW()-1),"")</f>
        <v/>
      </c>
      <c r="B31" s="2">
        <f>IF($A31="","",IFERROR(INDEX(mst_Houses[HouseCode],MATCH(INDEX(reg_Flocks[HouseID],MATCH($A31,reg_Flocks[FlockID],0)),mst_Houses[HouseID],0)),""))</f>
        <v/>
      </c>
      <c r="C31" s="2">
        <f>IF($A31="","",IFERROR(INDEX(mst_Breeds[BreedName],MATCH(INDEX(reg_Flocks[BreedID],MATCH($A31,reg_Flocks[FlockID],0)),mst_Breeds[BreedID],0)),""))</f>
        <v/>
      </c>
      <c r="D31" s="6">
        <f>IF($A31="","",INDEX(reg_Flocks[PlacedDate],MATCH($A31,reg_Flocks[FlockID],0)))</f>
        <v/>
      </c>
      <c r="E31" s="2">
        <f>IF($A31="","",INDEX(reg_Flocks[Status],MATCH($A31,reg_Flocks[FlockID],0)))</f>
        <v/>
      </c>
      <c r="F31" s="7">
        <f>IF($A31="","",TODAY()-$D31)</f>
        <v/>
      </c>
      <c r="G31" s="7">
        <f>IF($A31="","",INDEX(reg_Flocks[InitialBirdCount],MATCH($A31,reg_Flocks[FlockID],0)))</f>
        <v/>
      </c>
      <c r="H31" s="7">
        <f>IF($A31="","",SUMIFS(reg_DailyMortality[MortalityCount],reg_DailyMortality[FlockID],$A31))</f>
        <v/>
      </c>
      <c r="I31" s="7">
        <f>IF($A31="","",$G31-$H31)</f>
        <v/>
      </c>
      <c r="J31" s="12">
        <f>IF($A31="","",IFERROR($I31/$G31,0))</f>
        <v/>
      </c>
      <c r="K31" s="7">
        <f>IF($A31="","",SUMIFS(reg_FeedConsumption[KgUsed],reg_FeedConsumption[FlockID],$A31))</f>
        <v/>
      </c>
      <c r="L31" s="3">
        <f>IF($A31="","",SUMIFS(reg_FeedConsumption[CostZMW],reg_FeedConsumption[FlockID],$A31))</f>
        <v/>
      </c>
      <c r="M31" s="6">
        <f>IF($A31="","",IFERROR(_xlfn.MAXIFS(reg_WeeklyWeights[Date],reg_WeeklyWeights[FlockID],$A31),""))</f>
        <v/>
      </c>
      <c r="N31" s="7">
        <f>IF($A31="","",IFERROR(SUMIFS(reg_WeeklyWeights[AvgBodyWeightG],reg_WeeklyWeights[FlockID],$A31,reg_WeeklyWeights[Date],$M31),0))</f>
        <v/>
      </c>
      <c r="O31" s="13">
        <f>IF($A31="","",IFERROR($K31/($I31*$N31/1000),0))</f>
        <v/>
      </c>
      <c r="P31" s="9">
        <f>IF($A31="","",IFERROR($N31/$F31,0))</f>
        <v/>
      </c>
      <c r="Q31" s="3">
        <f>IF($A31="","",SUMIFS(reg_Expenses[Amount_ZMW],reg_Expenses[FlockID],$A31))</f>
        <v/>
      </c>
      <c r="R31" s="3">
        <f>IF($A31="","",SUMIFS(reg_MedicineStock[TotalCost_ZMW],reg_MedicineStock[FlockID],$A31))</f>
        <v/>
      </c>
      <c r="S31" s="3">
        <f>IF($A31="","",SUMIFS(reg_Sales_Dispatch[TotalValue_ZMW],reg_Sales_Dispatch[FlockID],$A31))</f>
        <v/>
      </c>
      <c r="T31" s="7">
        <f>IF($A31="","",SUMIFS(reg_Sales_Dispatch[BirdsDispatched],reg_Sales_Dispatch[FlockID],$A31))</f>
        <v/>
      </c>
      <c r="U31" s="3">
        <f>IF($A31="","",IFERROR(($Q31+$L31+$R31)/$G31,0))</f>
        <v/>
      </c>
      <c r="V31" s="3">
        <f>IF($A31="","",IFERROR(($Q31+$L31+$R31)/($I31*$N31/1000),0))</f>
        <v/>
      </c>
      <c r="W31" s="3">
        <f>IF($A31="","",$S31-$Q31-$L31-$R31)</f>
        <v/>
      </c>
      <c r="X31" s="3">
        <f>IF($A31="","",IFERROR(($Q31+$L31+$R31)/IF($T31&gt;0,$T31,$G31),0))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8" customWidth="1" min="2" max="2"/>
    <col width="10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</cols>
  <sheetData>
    <row r="1">
      <c r="A1" s="14" t="inlineStr">
        <is>
          <t>LogID</t>
        </is>
      </c>
      <c r="B1" s="14" t="inlineStr">
        <is>
          <t>TableName</t>
        </is>
      </c>
      <c r="C1" s="14" t="inlineStr">
        <is>
          <t>Action</t>
        </is>
      </c>
      <c r="D1" s="14" t="inlineStr">
        <is>
          <t>RecordID</t>
        </is>
      </c>
      <c r="E1" s="14" t="inlineStr">
        <is>
          <t>FieldChanged</t>
        </is>
      </c>
      <c r="F1" s="14" t="inlineStr">
        <is>
          <t>OldValue</t>
        </is>
      </c>
      <c r="G1" s="14" t="inlineStr">
        <is>
          <t>NewValue</t>
        </is>
      </c>
      <c r="H1" s="14" t="inlineStr">
        <is>
          <t>UserName</t>
        </is>
      </c>
      <c r="I1" s="14" t="inlineStr">
        <is>
          <t>Timestamp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tabColor rgb="007030A0"/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 outlineLevelCol="0"/>
  <cols>
    <col width="28" customWidth="1" min="1" max="1"/>
    <col width="20" customWidth="1" min="2" max="2"/>
  </cols>
  <sheetData>
    <row r="1">
      <c r="A1" s="37" t="inlineStr">
        <is>
          <t>FarmNow Limited</t>
        </is>
      </c>
      <c r="B1" s="38" t="n"/>
      <c r="C1" s="38" t="n"/>
      <c r="D1" s="38" t="n"/>
      <c r="E1" s="38" t="n"/>
      <c r="F1" s="38" t="n"/>
    </row>
    <row r="2">
      <c r="A2" s="38" t="n"/>
      <c r="B2" s="38" t="n"/>
      <c r="C2" s="38" t="n"/>
      <c r="D2" s="38" t="n"/>
      <c r="E2" s="38" t="n"/>
      <c r="F2" s="38" t="n"/>
    </row>
    <row r="3">
      <c r="A3" s="39" t="inlineStr">
        <is>
          <t>Flock Performance Report</t>
        </is>
      </c>
    </row>
    <row r="4">
      <c r="A4" s="36">
        <f>"Generated: "&amp;TEXT(TODAY(),"dd mmm yyyy")&amp;"   |   Prepared by: Farmnow Broiler Management System"</f>
        <v/>
      </c>
    </row>
    <row r="6">
      <c r="A6" s="40" t="inlineStr">
        <is>
          <t>Select Flock:</t>
        </is>
      </c>
      <c r="B6" s="41" t="inlineStr">
        <is>
          <t>FLK-001</t>
        </is>
      </c>
    </row>
    <row r="8">
      <c r="A8" s="42" t="inlineStr">
        <is>
          <t>Metric</t>
        </is>
      </c>
      <c r="B8" s="42" t="inlineStr">
        <is>
          <t>Value</t>
        </is>
      </c>
    </row>
    <row r="9">
      <c r="A9" s="43" t="inlineStr">
        <is>
          <t>House</t>
        </is>
      </c>
      <c r="B9" s="2">
        <f>INDEX(calc_KPI_Engine[HouseCode],MATCH($B$6,calc_KPI_Engine[FlockID],0))</f>
        <v/>
      </c>
    </row>
    <row r="10">
      <c r="A10" s="44" t="inlineStr">
        <is>
          <t>Breed</t>
        </is>
      </c>
      <c r="B10" s="27">
        <f>INDEX(calc_KPI_Engine[BreedName],MATCH($B$6,calc_KPI_Engine[FlockID],0))</f>
        <v/>
      </c>
    </row>
    <row r="11">
      <c r="A11" s="43" t="inlineStr">
        <is>
          <t>Placed Date</t>
        </is>
      </c>
      <c r="B11" s="6">
        <f>INDEX(calc_KPI_Engine[PlacedDate],MATCH($B$6,calc_KPI_Engine[FlockID],0))</f>
        <v/>
      </c>
    </row>
    <row r="12">
      <c r="A12" s="44" t="inlineStr">
        <is>
          <t>Status</t>
        </is>
      </c>
      <c r="B12" s="27">
        <f>INDEX(calc_KPI_Engine[Status],MATCH($B$6,calc_KPI_Engine[FlockID],0))</f>
        <v/>
      </c>
    </row>
    <row r="13">
      <c r="A13" s="43" t="inlineStr">
        <is>
          <t>Days On Farm</t>
        </is>
      </c>
      <c r="B13" s="7">
        <f>INDEX(calc_KPI_Engine[DaysOnFarm],MATCH($B$6,calc_KPI_Engine[FlockID],0))</f>
        <v/>
      </c>
    </row>
    <row r="14">
      <c r="A14" s="44" t="inlineStr">
        <is>
          <t>Initial Bird Count</t>
        </is>
      </c>
      <c r="B14" s="45">
        <f>INDEX(calc_KPI_Engine[InitialBirds],MATCH($B$6,calc_KPI_Engine[FlockID],0))</f>
        <v/>
      </c>
    </row>
    <row r="15">
      <c r="A15" s="43" t="inlineStr">
        <is>
          <t>Total Mortality</t>
        </is>
      </c>
      <c r="B15" s="7">
        <f>INDEX(calc_KPI_Engine[TotalMortality],MATCH($B$6,calc_KPI_Engine[FlockID],0))</f>
        <v/>
      </c>
    </row>
    <row r="16">
      <c r="A16" s="44" t="inlineStr">
        <is>
          <t>Current Bird Count</t>
        </is>
      </c>
      <c r="B16" s="45">
        <f>INDEX(calc_KPI_Engine[CurrentBirds],MATCH($B$6,calc_KPI_Engine[FlockID],0))</f>
        <v/>
      </c>
    </row>
    <row r="17">
      <c r="A17" s="43" t="inlineStr">
        <is>
          <t>Livability %</t>
        </is>
      </c>
      <c r="B17" s="12">
        <f>INDEX(calc_KPI_Engine[LivabilityPct],MATCH($B$6,calc_KPI_Engine[FlockID],0))</f>
        <v/>
      </c>
    </row>
    <row r="18">
      <c r="A18" s="44" t="inlineStr">
        <is>
          <t>Total Feed Used (Kg)</t>
        </is>
      </c>
      <c r="B18" s="45">
        <f>INDEX(calc_KPI_Engine[TotalFeedKg],MATCH($B$6,calc_KPI_Engine[FlockID],0))</f>
        <v/>
      </c>
    </row>
    <row r="19">
      <c r="A19" s="43" t="inlineStr">
        <is>
          <t>Latest Avg Body Weight (g)</t>
        </is>
      </c>
      <c r="B19" s="7">
        <f>INDEX(calc_KPI_Engine[LatestAvgWeightG],MATCH($B$6,calc_KPI_Engine[FlockID],0))</f>
        <v/>
      </c>
    </row>
    <row r="20">
      <c r="A20" s="44" t="inlineStr">
        <is>
          <t>FCR (Feed Conversion Ratio)</t>
        </is>
      </c>
      <c r="B20" s="29">
        <f>INDEX(calc_KPI_Engine[FCR],MATCH($B$6,calc_KPI_Engine[FlockID],0))</f>
        <v/>
      </c>
    </row>
    <row r="21">
      <c r="A21" s="43" t="inlineStr">
        <is>
          <t>ADG (g/day)</t>
        </is>
      </c>
      <c r="B21" s="9">
        <f>INDEX(calc_KPI_Engine[ADG_g],MATCH($B$6,calc_KPI_Engine[FlockID],0))</f>
        <v/>
      </c>
    </row>
    <row r="22">
      <c r="A22" s="44" t="inlineStr">
        <is>
          <t>Total Feed Cost (ZMW)</t>
        </is>
      </c>
      <c r="B22" s="31">
        <f>INDEX(calc_KPI_Engine[TotalFeedCost_ZMW],MATCH($B$6,calc_KPI_Engine[FlockID],0))</f>
        <v/>
      </c>
    </row>
    <row r="23">
      <c r="A23" s="43" t="inlineStr">
        <is>
          <t>Medicine Cost (ZMW)</t>
        </is>
      </c>
      <c r="B23" s="3">
        <f>INDEX(calc_KPI_Engine[MedicineCost_ZMW],MATCH($B$6,calc_KPI_Engine[FlockID],0))</f>
        <v/>
      </c>
    </row>
    <row r="24">
      <c r="A24" s="44" t="inlineStr">
        <is>
          <t>Total Other Expenses (ZMW)</t>
        </is>
      </c>
      <c r="B24" s="31">
        <f>INDEX(calc_KPI_Engine[TotalExpenses_ZMW],MATCH($B$6,calc_KPI_Engine[FlockID],0))</f>
        <v/>
      </c>
    </row>
    <row r="25">
      <c r="A25" s="43" t="inlineStr">
        <is>
          <t>Cost / Bird (ZMW)</t>
        </is>
      </c>
      <c r="B25" s="3">
        <f>INDEX(calc_KPI_Engine[CostPerBird_ZMW],MATCH($B$6,calc_KPI_Engine[FlockID],0))</f>
        <v/>
      </c>
    </row>
    <row r="26">
      <c r="A26" s="44" t="inlineStr">
        <is>
          <t>Cost / Kg Live Weight (ZMW)</t>
        </is>
      </c>
      <c r="B26" s="31">
        <f>INDEX(calc_KPI_Engine[CostPerKg_ZMW],MATCH($B$6,calc_KPI_Engine[FlockID],0))</f>
        <v/>
      </c>
    </row>
    <row r="27">
      <c r="A27" s="43" t="inlineStr">
        <is>
          <t>Break-even Price / Bird (ZMW)</t>
        </is>
      </c>
      <c r="B27" s="3">
        <f>INDEX(calc_KPI_Engine[BreakEvenPricePerBird_ZMW],MATCH($B$6,calc_KPI_Engine[FlockID],0))</f>
        <v/>
      </c>
    </row>
    <row r="28">
      <c r="A28" s="44" t="inlineStr">
        <is>
          <t>Total Sales Value (ZMW)</t>
        </is>
      </c>
      <c r="B28" s="31">
        <f>INDEX(calc_KPI_Engine[TotalSalesValue_ZMW],MATCH($B$6,calc_KPI_Engine[FlockID],0))</f>
        <v/>
      </c>
    </row>
    <row r="29">
      <c r="A29" s="43" t="inlineStr">
        <is>
          <t>Estimated Profit (ZMW)</t>
        </is>
      </c>
      <c r="B29" s="3">
        <f>INDEX(calc_KPI_Engine[EstimatedProfit_ZMW],MATCH($B$6,calc_KPI_Engine[FlockID],0))</f>
        <v/>
      </c>
    </row>
    <row r="30">
      <c r="A30" s="44" t="inlineStr">
        <is>
          <t>vs Breed Standard FCR</t>
        </is>
      </c>
      <c r="B30" s="29">
        <f>INDEX(mst_Breeds[StandardFCR],MATCH(INDEX(reg_Flocks[BreedID],MATCH($B$6,reg_Flocks[FlockID],0)),mst_Breeds[BreedID],0))</f>
        <v/>
      </c>
    </row>
  </sheetData>
  <mergeCells count="3">
    <mergeCell ref="A3:F3"/>
    <mergeCell ref="A4:F4"/>
    <mergeCell ref="A1:F2"/>
  </mergeCells>
  <dataValidations count="1">
    <dataValidation sqref="B6" showDropDown="0" showInputMessage="0" showErrorMessage="0" allowBlank="0" type="list">
      <formula1>=FlockID_List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7030A0"/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 outlineLevelCol="0"/>
  <cols>
    <col width="12" customWidth="1" min="1" max="1"/>
    <col width="10" customWidth="1" min="2" max="2"/>
    <col width="15" customWidth="1" min="3" max="3"/>
    <col width="16" customWidth="1" min="4" max="4"/>
    <col width="17" customWidth="1" min="5" max="5"/>
    <col width="15" customWidth="1" min="6" max="6"/>
    <col width="15" customWidth="1" min="7" max="7"/>
    <col width="17" customWidth="1" min="8" max="8"/>
    <col width="14" customWidth="1" min="9" max="9"/>
    <col width="20" customWidth="1" min="10" max="10"/>
  </cols>
  <sheetData>
    <row r="1">
      <c r="A1" s="37" t="inlineStr">
        <is>
          <t>FarmNow Limited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</row>
    <row r="3">
      <c r="A3" s="39" t="inlineStr">
        <is>
          <t>Financial Summary Report - All Flocks</t>
        </is>
      </c>
    </row>
    <row r="4">
      <c r="A4" s="36">
        <f>"Generated: "&amp;TEXT(TODAY(),"dd mmm yyyy")&amp;"   |   Prepared by: Farmnow Broiler Management System"</f>
        <v/>
      </c>
    </row>
    <row r="6" ht="28" customHeight="1">
      <c r="A6" s="46" t="inlineStr">
        <is>
          <t>Flock</t>
        </is>
      </c>
      <c r="B6" s="46" t="inlineStr">
        <is>
          <t>Status</t>
        </is>
      </c>
      <c r="C6" s="46" t="inlineStr">
        <is>
          <t>Feed Cost (ZMW)</t>
        </is>
      </c>
      <c r="D6" s="46" t="inlineStr">
        <is>
          <t>Medicine Cost (ZMW)</t>
        </is>
      </c>
      <c r="E6" s="46" t="inlineStr">
        <is>
          <t>Other Expenses (ZMW)</t>
        </is>
      </c>
      <c r="F6" s="46" t="inlineStr">
        <is>
          <t>Total Cost (ZMW)</t>
        </is>
      </c>
      <c r="G6" s="46" t="inlineStr">
        <is>
          <t>Sales Value (ZMW)</t>
        </is>
      </c>
      <c r="H6" s="46" t="inlineStr">
        <is>
          <t>Estimated Profit (ZMW)</t>
        </is>
      </c>
      <c r="I6" s="46" t="inlineStr">
        <is>
          <t>Cost / Bird (ZMW)</t>
        </is>
      </c>
      <c r="J6" s="46" t="inlineStr">
        <is>
          <t>Break-even Price/Bird (ZMW)</t>
        </is>
      </c>
    </row>
    <row r="7">
      <c r="A7" s="2">
        <f>calc_KPI_Engine!A2</f>
        <v/>
      </c>
      <c r="B7" s="2">
        <f>calc_KPI_Engine!E2</f>
        <v/>
      </c>
      <c r="C7" s="3">
        <f>calc_KPI_Engine!L2</f>
        <v/>
      </c>
      <c r="D7" s="3">
        <f>calc_KPI_Engine!R2</f>
        <v/>
      </c>
      <c r="E7" s="3">
        <f>calc_KPI_Engine!Q2</f>
        <v/>
      </c>
      <c r="F7" s="3">
        <f>calc_KPI_Engine!L2+calc_KPI_Engine!Q2+calc_KPI_Engine!R2</f>
        <v/>
      </c>
      <c r="G7" s="3">
        <f>calc_KPI_Engine!S2</f>
        <v/>
      </c>
      <c r="H7" s="3">
        <f>calc_KPI_Engine!W2</f>
        <v/>
      </c>
      <c r="I7" s="3">
        <f>calc_KPI_Engine!U2</f>
        <v/>
      </c>
      <c r="J7" s="3">
        <f>calc_KPI_Engine!X2</f>
        <v/>
      </c>
    </row>
    <row r="8">
      <c r="A8" s="27">
        <f>calc_KPI_Engine!A3</f>
        <v/>
      </c>
      <c r="B8" s="27">
        <f>calc_KPI_Engine!E3</f>
        <v/>
      </c>
      <c r="C8" s="31">
        <f>calc_KPI_Engine!L3</f>
        <v/>
      </c>
      <c r="D8" s="31">
        <f>calc_KPI_Engine!R3</f>
        <v/>
      </c>
      <c r="E8" s="31">
        <f>calc_KPI_Engine!Q3</f>
        <v/>
      </c>
      <c r="F8" s="31">
        <f>calc_KPI_Engine!L3+calc_KPI_Engine!Q3+calc_KPI_Engine!R3</f>
        <v/>
      </c>
      <c r="G8" s="31">
        <f>calc_KPI_Engine!S3</f>
        <v/>
      </c>
      <c r="H8" s="31">
        <f>calc_KPI_Engine!W3</f>
        <v/>
      </c>
      <c r="I8" s="31">
        <f>calc_KPI_Engine!U3</f>
        <v/>
      </c>
      <c r="J8" s="31">
        <f>calc_KPI_Engine!X3</f>
        <v/>
      </c>
    </row>
    <row r="9">
      <c r="A9" s="2">
        <f>calc_KPI_Engine!A4</f>
        <v/>
      </c>
      <c r="B9" s="2">
        <f>calc_KPI_Engine!E4</f>
        <v/>
      </c>
      <c r="C9" s="3">
        <f>calc_KPI_Engine!L4</f>
        <v/>
      </c>
      <c r="D9" s="3">
        <f>calc_KPI_Engine!R4</f>
        <v/>
      </c>
      <c r="E9" s="3">
        <f>calc_KPI_Engine!Q4</f>
        <v/>
      </c>
      <c r="F9" s="3">
        <f>calc_KPI_Engine!L4+calc_KPI_Engine!Q4+calc_KPI_Engine!R4</f>
        <v/>
      </c>
      <c r="G9" s="3">
        <f>calc_KPI_Engine!S4</f>
        <v/>
      </c>
      <c r="H9" s="3">
        <f>calc_KPI_Engine!W4</f>
        <v/>
      </c>
      <c r="I9" s="3">
        <f>calc_KPI_Engine!U4</f>
        <v/>
      </c>
      <c r="J9" s="3">
        <f>calc_KPI_Engine!X4</f>
        <v/>
      </c>
    </row>
    <row r="10">
      <c r="A10" s="27">
        <f>calc_KPI_Engine!A5</f>
        <v/>
      </c>
      <c r="B10" s="27">
        <f>calc_KPI_Engine!E5</f>
        <v/>
      </c>
      <c r="C10" s="31">
        <f>calc_KPI_Engine!L5</f>
        <v/>
      </c>
      <c r="D10" s="31">
        <f>calc_KPI_Engine!R5</f>
        <v/>
      </c>
      <c r="E10" s="31">
        <f>calc_KPI_Engine!Q5</f>
        <v/>
      </c>
      <c r="F10" s="31">
        <f>calc_KPI_Engine!L5+calc_KPI_Engine!Q5+calc_KPI_Engine!R5</f>
        <v/>
      </c>
      <c r="G10" s="31">
        <f>calc_KPI_Engine!S5</f>
        <v/>
      </c>
      <c r="H10" s="31">
        <f>calc_KPI_Engine!W5</f>
        <v/>
      </c>
      <c r="I10" s="31">
        <f>calc_KPI_Engine!U5</f>
        <v/>
      </c>
      <c r="J10" s="31">
        <f>calc_KPI_Engine!X5</f>
        <v/>
      </c>
    </row>
    <row r="11">
      <c r="A11" s="47" t="inlineStr">
        <is>
          <t>TOTAL / AVERAGE</t>
        </is>
      </c>
      <c r="B11" s="48" t="n"/>
      <c r="C11" s="49">
        <f>SUM(C7:C10)</f>
        <v/>
      </c>
      <c r="D11" s="49">
        <f>SUM(D7:D10)</f>
        <v/>
      </c>
      <c r="E11" s="49">
        <f>SUM(E7:E10)</f>
        <v/>
      </c>
      <c r="F11" s="49">
        <f>SUM(F7:F10)</f>
        <v/>
      </c>
      <c r="G11" s="49">
        <f>SUM(G7:G10)</f>
        <v/>
      </c>
      <c r="H11" s="49">
        <f>SUM(H7:H10)</f>
        <v/>
      </c>
      <c r="I11" s="49">
        <f>AVERAGE(I7:I10)</f>
        <v/>
      </c>
      <c r="J11" s="49">
        <f>AVERAGE(J7:J10)</f>
        <v/>
      </c>
    </row>
  </sheetData>
  <mergeCells count="3">
    <mergeCell ref="A4:J4"/>
    <mergeCell ref="A1:J2"/>
    <mergeCell ref="A3:J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7030A0"/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 outlineLevelCol="0"/>
  <cols>
    <col width="16" customWidth="1" min="1" max="1"/>
    <col width="30" customWidth="1" min="2" max="2"/>
    <col width="24" customWidth="1" min="3" max="3"/>
    <col width="16" customWidth="1" min="4" max="4"/>
  </cols>
  <sheetData>
    <row r="1">
      <c r="A1" s="37" t="inlineStr">
        <is>
          <t>FarmNow Limited</t>
        </is>
      </c>
      <c r="B1" s="38" t="n"/>
      <c r="C1" s="38" t="n"/>
      <c r="D1" s="38" t="n"/>
      <c r="E1" s="38" t="n"/>
      <c r="F1" s="38" t="n"/>
    </row>
    <row r="2">
      <c r="A2" s="38" t="n"/>
      <c r="B2" s="38" t="n"/>
      <c r="C2" s="38" t="n"/>
      <c r="D2" s="38" t="n"/>
      <c r="E2" s="38" t="n"/>
      <c r="F2" s="38" t="n"/>
    </row>
    <row r="3">
      <c r="A3" s="39" t="inlineStr">
        <is>
          <t>Mortality &amp; Health Report</t>
        </is>
      </c>
    </row>
    <row r="4">
      <c r="A4" s="36">
        <f>"Generated: "&amp;TEXT(TODAY(),"dd mmm yyyy")&amp;"   |   Prepared by: Farmnow Broiler Management System"</f>
        <v/>
      </c>
    </row>
    <row r="6">
      <c r="A6" s="40" t="inlineStr">
        <is>
          <t>Select Flock:</t>
        </is>
      </c>
      <c r="B6" s="41" t="inlineStr">
        <is>
          <t>FLK-001</t>
        </is>
      </c>
    </row>
    <row r="8">
      <c r="A8" s="40" t="inlineStr">
        <is>
          <t>Placed Date:</t>
        </is>
      </c>
      <c r="B8" s="50">
        <f>INDEX(reg_Flocks[PlacedDate],MATCH($B$6,reg_Flocks[FlockID],0))</f>
        <v/>
      </c>
    </row>
    <row r="9">
      <c r="A9" s="40" t="inlineStr">
        <is>
          <t>Total Mortality To Date:</t>
        </is>
      </c>
      <c r="B9" s="51">
        <f>INDEX(calc_KPI_Engine[TotalMortality],MATCH($B$6,calc_KPI_Engine[FlockID],0))</f>
        <v/>
      </c>
    </row>
    <row r="10">
      <c r="A10" s="40" t="inlineStr">
        <is>
          <t>Livability %:</t>
        </is>
      </c>
      <c r="B10" s="52">
        <f>INDEX(calc_KPI_Engine[LivabilityPct],MATCH($B$6,calc_KPI_Engine[FlockID],0))</f>
        <v/>
      </c>
    </row>
    <row r="12" ht="26" customHeight="1">
      <c r="A12" s="53" t="inlineStr">
        <is>
          <t>Week</t>
        </is>
      </c>
      <c r="B12" s="53" t="inlineStr">
        <is>
          <t>Date Range</t>
        </is>
      </c>
      <c r="C12" s="53" t="inlineStr">
        <is>
          <t>Mortality This Week</t>
        </is>
      </c>
      <c r="D12" s="53" t="inlineStr">
        <is>
          <t>Cumulative Mortality</t>
        </is>
      </c>
    </row>
    <row r="13">
      <c r="A13" s="2" t="n">
        <v>1</v>
      </c>
      <c r="B13" s="2">
        <f>TEXT(($B$8+0),"dd mmm")&amp;" - "&amp;TEXT(($B$8+6),"dd mmm")</f>
        <v/>
      </c>
      <c r="C13" s="54">
        <f>SUMIFS(reg_DailyMortality[MortalityCount],reg_DailyMortality[FlockID],$B$6,reg_DailyMortality[Date],"&gt;="&amp;($B$8+0),reg_DailyMortality[Date],"&lt;="&amp;($B$8+6))</f>
        <v/>
      </c>
      <c r="D13" s="54">
        <f>SUMIFS(reg_DailyMortality[MortalityCount],reg_DailyMortality[FlockID],$B$6,reg_DailyMortality[Date],"&lt;="&amp;($B$8+6))</f>
        <v/>
      </c>
    </row>
    <row r="14">
      <c r="A14" s="27" t="n">
        <v>2</v>
      </c>
      <c r="B14" s="27">
        <f>TEXT(($B$8+7),"dd mmm")&amp;" - "&amp;TEXT(($B$8+13),"dd mmm")</f>
        <v/>
      </c>
      <c r="C14" s="55">
        <f>SUMIFS(reg_DailyMortality[MortalityCount],reg_DailyMortality[FlockID],$B$6,reg_DailyMortality[Date],"&gt;="&amp;($B$8+7),reg_DailyMortality[Date],"&lt;="&amp;($B$8+13))</f>
        <v/>
      </c>
      <c r="D14" s="55">
        <f>SUMIFS(reg_DailyMortality[MortalityCount],reg_DailyMortality[FlockID],$B$6,reg_DailyMortality[Date],"&lt;="&amp;($B$8+13))</f>
        <v/>
      </c>
    </row>
    <row r="15">
      <c r="A15" s="2" t="n">
        <v>3</v>
      </c>
      <c r="B15" s="2">
        <f>TEXT(($B$8+14),"dd mmm")&amp;" - "&amp;TEXT(($B$8+20),"dd mmm")</f>
        <v/>
      </c>
      <c r="C15" s="54">
        <f>SUMIFS(reg_DailyMortality[MortalityCount],reg_DailyMortality[FlockID],$B$6,reg_DailyMortality[Date],"&gt;="&amp;($B$8+14),reg_DailyMortality[Date],"&lt;="&amp;($B$8+20))</f>
        <v/>
      </c>
      <c r="D15" s="54">
        <f>SUMIFS(reg_DailyMortality[MortalityCount],reg_DailyMortality[FlockID],$B$6,reg_DailyMortality[Date],"&lt;="&amp;($B$8+20))</f>
        <v/>
      </c>
    </row>
    <row r="16">
      <c r="A16" s="27" t="n">
        <v>4</v>
      </c>
      <c r="B16" s="27">
        <f>TEXT(($B$8+21),"dd mmm")&amp;" - "&amp;TEXT(($B$8+27),"dd mmm")</f>
        <v/>
      </c>
      <c r="C16" s="55">
        <f>SUMIFS(reg_DailyMortality[MortalityCount],reg_DailyMortality[FlockID],$B$6,reg_DailyMortality[Date],"&gt;="&amp;($B$8+21),reg_DailyMortality[Date],"&lt;="&amp;($B$8+27))</f>
        <v/>
      </c>
      <c r="D16" s="55">
        <f>SUMIFS(reg_DailyMortality[MortalityCount],reg_DailyMortality[FlockID],$B$6,reg_DailyMortality[Date],"&lt;="&amp;($B$8+27))</f>
        <v/>
      </c>
    </row>
    <row r="17">
      <c r="A17" s="2" t="n">
        <v>5</v>
      </c>
      <c r="B17" s="2">
        <f>TEXT(($B$8+28),"dd mmm")&amp;" - "&amp;TEXT(($B$8+34),"dd mmm")</f>
        <v/>
      </c>
      <c r="C17" s="54">
        <f>SUMIFS(reg_DailyMortality[MortalityCount],reg_DailyMortality[FlockID],$B$6,reg_DailyMortality[Date],"&gt;="&amp;($B$8+28),reg_DailyMortality[Date],"&lt;="&amp;($B$8+34))</f>
        <v/>
      </c>
      <c r="D17" s="54">
        <f>SUMIFS(reg_DailyMortality[MortalityCount],reg_DailyMortality[FlockID],$B$6,reg_DailyMortality[Date],"&lt;="&amp;($B$8+34))</f>
        <v/>
      </c>
    </row>
    <row r="18">
      <c r="A18" s="27" t="n">
        <v>6</v>
      </c>
      <c r="B18" s="27">
        <f>TEXT(($B$8+35),"dd mmm")&amp;" - "&amp;TEXT(($B$8+41),"dd mmm")</f>
        <v/>
      </c>
      <c r="C18" s="55">
        <f>SUMIFS(reg_DailyMortality[MortalityCount],reg_DailyMortality[FlockID],$B$6,reg_DailyMortality[Date],"&gt;="&amp;($B$8+35),reg_DailyMortality[Date],"&lt;="&amp;($B$8+41))</f>
        <v/>
      </c>
      <c r="D18" s="55">
        <f>SUMIFS(reg_DailyMortality[MortalityCount],reg_DailyMortality[FlockID],$B$6,reg_DailyMortality[Date],"&lt;="&amp;($B$8+41))</f>
        <v/>
      </c>
    </row>
    <row r="19">
      <c r="A19" s="2" t="n">
        <v>7</v>
      </c>
      <c r="B19" s="2">
        <f>TEXT(($B$8+42),"dd mmm")&amp;" - "&amp;TEXT(($B$8+48),"dd mmm")</f>
        <v/>
      </c>
      <c r="C19" s="54">
        <f>SUMIFS(reg_DailyMortality[MortalityCount],reg_DailyMortality[FlockID],$B$6,reg_DailyMortality[Date],"&gt;="&amp;($B$8+42),reg_DailyMortality[Date],"&lt;="&amp;($B$8+48))</f>
        <v/>
      </c>
      <c r="D19" s="54">
        <f>SUMIFS(reg_DailyMortality[MortalityCount],reg_DailyMortality[FlockID],$B$6,reg_DailyMortality[Date],"&lt;="&amp;($B$8+48))</f>
        <v/>
      </c>
    </row>
    <row r="20">
      <c r="A20" s="27" t="n">
        <v>8</v>
      </c>
      <c r="B20" s="27">
        <f>TEXT(($B$8+49),"dd mmm")&amp;" - "&amp;TEXT(($B$8+55),"dd mmm")</f>
        <v/>
      </c>
      <c r="C20" s="55">
        <f>SUMIFS(reg_DailyMortality[MortalityCount],reg_DailyMortality[FlockID],$B$6,reg_DailyMortality[Date],"&gt;="&amp;($B$8+49),reg_DailyMortality[Date],"&lt;="&amp;($B$8+55))</f>
        <v/>
      </c>
      <c r="D20" s="55">
        <f>SUMIFS(reg_DailyMortality[MortalityCount],reg_DailyMortality[FlockID],$B$6,reg_DailyMortality[Date],"&lt;="&amp;($B$8+55))</f>
        <v/>
      </c>
    </row>
    <row r="23">
      <c r="A23" s="25" t="inlineStr">
        <is>
          <t>Vaccination / Health Log for Selected Flock</t>
        </is>
      </c>
    </row>
    <row r="24">
      <c r="A24" s="42" t="inlineStr">
        <is>
          <t>Date</t>
        </is>
      </c>
      <c r="B24" s="42" t="inlineStr">
        <is>
          <t>Product</t>
        </is>
      </c>
      <c r="C24" s="42" t="inlineStr">
        <is>
          <t>Dosage</t>
        </is>
      </c>
      <c r="D24" s="42" t="inlineStr">
        <is>
          <t>Route</t>
        </is>
      </c>
    </row>
    <row r="25">
      <c r="A25" s="6">
        <f>IFERROR(INDEX(reg_Vaccination_Health[Date],MATCH($B$6&amp;"-"&amp;1,reg_Vaccination_Health[CompositeKey],0)),"")</f>
        <v/>
      </c>
      <c r="B25" s="2">
        <f>IFERROR(INDEX(mst_Vaccines_Meds[ProductName],MATCH(INDEX(reg_Vaccination_Health[ProductID],MATCH($B$6&amp;"-"&amp;1,reg_Vaccination_Health[CompositeKey],0)),mst_Vaccines_Meds[ProductID],0)),"")</f>
        <v/>
      </c>
      <c r="C25" s="2">
        <f>IFERROR(INDEX(reg_Vaccination_Health[DosageGiven],MATCH($B$6&amp;"-"&amp;1,reg_Vaccination_Health[CompositeKey],0)),"")</f>
        <v/>
      </c>
      <c r="D25" s="2">
        <f>IFERROR(INDEX(reg_Vaccination_Health[Route],MATCH($B$6&amp;"-"&amp;1,reg_Vaccination_Health[CompositeKey],0)),"")</f>
        <v/>
      </c>
    </row>
    <row r="26">
      <c r="A26" s="56">
        <f>IFERROR(INDEX(reg_Vaccination_Health[Date],MATCH($B$6&amp;"-"&amp;2,reg_Vaccination_Health[CompositeKey],0)),"")</f>
        <v/>
      </c>
      <c r="B26" s="27">
        <f>IFERROR(INDEX(mst_Vaccines_Meds[ProductName],MATCH(INDEX(reg_Vaccination_Health[ProductID],MATCH($B$6&amp;"-"&amp;2,reg_Vaccination_Health[CompositeKey],0)),mst_Vaccines_Meds[ProductID],0)),"")</f>
        <v/>
      </c>
      <c r="C26" s="27">
        <f>IFERROR(INDEX(reg_Vaccination_Health[DosageGiven],MATCH($B$6&amp;"-"&amp;2,reg_Vaccination_Health[CompositeKey],0)),"")</f>
        <v/>
      </c>
      <c r="D26" s="27">
        <f>IFERROR(INDEX(reg_Vaccination_Health[Route],MATCH($B$6&amp;"-"&amp;2,reg_Vaccination_Health[CompositeKey],0)),"")</f>
        <v/>
      </c>
    </row>
    <row r="27">
      <c r="A27" s="6">
        <f>IFERROR(INDEX(reg_Vaccination_Health[Date],MATCH($B$6&amp;"-"&amp;3,reg_Vaccination_Health[CompositeKey],0)),"")</f>
        <v/>
      </c>
      <c r="B27" s="2">
        <f>IFERROR(INDEX(mst_Vaccines_Meds[ProductName],MATCH(INDEX(reg_Vaccination_Health[ProductID],MATCH($B$6&amp;"-"&amp;3,reg_Vaccination_Health[CompositeKey],0)),mst_Vaccines_Meds[ProductID],0)),"")</f>
        <v/>
      </c>
      <c r="C27" s="2">
        <f>IFERROR(INDEX(reg_Vaccination_Health[DosageGiven],MATCH($B$6&amp;"-"&amp;3,reg_Vaccination_Health[CompositeKey],0)),"")</f>
        <v/>
      </c>
      <c r="D27" s="2">
        <f>IFERROR(INDEX(reg_Vaccination_Health[Route],MATCH($B$6&amp;"-"&amp;3,reg_Vaccination_Health[CompositeKey],0)),"")</f>
        <v/>
      </c>
    </row>
    <row r="28">
      <c r="A28" s="56">
        <f>IFERROR(INDEX(reg_Vaccination_Health[Date],MATCH($B$6&amp;"-"&amp;4,reg_Vaccination_Health[CompositeKey],0)),"")</f>
        <v/>
      </c>
      <c r="B28" s="27">
        <f>IFERROR(INDEX(mst_Vaccines_Meds[ProductName],MATCH(INDEX(reg_Vaccination_Health[ProductID],MATCH($B$6&amp;"-"&amp;4,reg_Vaccination_Health[CompositeKey],0)),mst_Vaccines_Meds[ProductID],0)),"")</f>
        <v/>
      </c>
      <c r="C28" s="27">
        <f>IFERROR(INDEX(reg_Vaccination_Health[DosageGiven],MATCH($B$6&amp;"-"&amp;4,reg_Vaccination_Health[CompositeKey],0)),"")</f>
        <v/>
      </c>
      <c r="D28" s="27">
        <f>IFERROR(INDEX(reg_Vaccination_Health[Route],MATCH($B$6&amp;"-"&amp;4,reg_Vaccination_Health[CompositeKey],0)),"")</f>
        <v/>
      </c>
    </row>
    <row r="29">
      <c r="A29" s="6">
        <f>IFERROR(INDEX(reg_Vaccination_Health[Date],MATCH($B$6&amp;"-"&amp;5,reg_Vaccination_Health[CompositeKey],0)),"")</f>
        <v/>
      </c>
      <c r="B29" s="2">
        <f>IFERROR(INDEX(mst_Vaccines_Meds[ProductName],MATCH(INDEX(reg_Vaccination_Health[ProductID],MATCH($B$6&amp;"-"&amp;5,reg_Vaccination_Health[CompositeKey],0)),mst_Vaccines_Meds[ProductID],0)),"")</f>
        <v/>
      </c>
      <c r="C29" s="2">
        <f>IFERROR(INDEX(reg_Vaccination_Health[DosageGiven],MATCH($B$6&amp;"-"&amp;5,reg_Vaccination_Health[CompositeKey],0)),"")</f>
        <v/>
      </c>
      <c r="D29" s="2">
        <f>IFERROR(INDEX(reg_Vaccination_Health[Route],MATCH($B$6&amp;"-"&amp;5,reg_Vaccination_Health[CompositeKey],0)),"")</f>
        <v/>
      </c>
    </row>
    <row r="30">
      <c r="A30" s="56">
        <f>IFERROR(INDEX(reg_Vaccination_Health[Date],MATCH($B$6&amp;"-"&amp;6,reg_Vaccination_Health[CompositeKey],0)),"")</f>
        <v/>
      </c>
      <c r="B30" s="27">
        <f>IFERROR(INDEX(mst_Vaccines_Meds[ProductName],MATCH(INDEX(reg_Vaccination_Health[ProductID],MATCH($B$6&amp;"-"&amp;6,reg_Vaccination_Health[CompositeKey],0)),mst_Vaccines_Meds[ProductID],0)),"")</f>
        <v/>
      </c>
      <c r="C30" s="27">
        <f>IFERROR(INDEX(reg_Vaccination_Health[DosageGiven],MATCH($B$6&amp;"-"&amp;6,reg_Vaccination_Health[CompositeKey],0)),"")</f>
        <v/>
      </c>
      <c r="D30" s="27">
        <f>IFERROR(INDEX(reg_Vaccination_Health[Route],MATCH($B$6&amp;"-"&amp;6,reg_Vaccination_Health[CompositeKey],0)),"")</f>
        <v/>
      </c>
    </row>
  </sheetData>
  <mergeCells count="4">
    <mergeCell ref="A3:F3"/>
    <mergeCell ref="A23:D23"/>
    <mergeCell ref="A4:F4"/>
    <mergeCell ref="A1:F2"/>
  </mergeCells>
  <dataValidations count="1">
    <dataValidation sqref="B6" showDropDown="0" showInputMessage="0" showErrorMessage="0" allowBlank="0" type="list">
      <formula1>=FlockID_List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808080"/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0" customWidth="1" min="8" max="8"/>
  </cols>
  <sheetData>
    <row r="1">
      <c r="A1" s="1" t="inlineStr">
        <is>
          <t>EmployeeID</t>
        </is>
      </c>
      <c r="B1" s="1" t="inlineStr">
        <is>
          <t>EmployeeName</t>
        </is>
      </c>
      <c r="C1" s="1" t="inlineStr">
        <is>
          <t>Position</t>
        </is>
      </c>
      <c r="D1" s="1" t="inlineStr">
        <is>
          <t>ContactNumber</t>
        </is>
      </c>
      <c r="E1" s="1" t="inlineStr">
        <is>
          <t>NRC</t>
        </is>
      </c>
      <c r="F1" s="1" t="inlineStr">
        <is>
          <t>DateHired</t>
        </is>
      </c>
      <c r="G1" s="1" t="inlineStr">
        <is>
          <t>SalaryZMW</t>
        </is>
      </c>
      <c r="H1" s="1" t="inlineStr">
        <is>
          <t>Status</t>
        </is>
      </c>
    </row>
    <row r="2">
      <c r="A2" s="2" t="n">
        <v>1</v>
      </c>
      <c r="B2" s="2" t="inlineStr">
        <is>
          <t>D. Chanda</t>
        </is>
      </c>
      <c r="C2" s="2" t="inlineStr">
        <is>
          <t>Farm Manager</t>
        </is>
      </c>
      <c r="D2" s="2" t="inlineStr">
        <is>
          <t>+260-97-444-5555</t>
        </is>
      </c>
      <c r="E2" s="2" t="inlineStr">
        <is>
          <t>111111/10/1</t>
        </is>
      </c>
      <c r="F2" s="6" t="n">
        <v>45352</v>
      </c>
      <c r="G2" s="3" t="n">
        <v>6500</v>
      </c>
      <c r="H2" s="2" t="inlineStr">
        <is>
          <t>Active</t>
        </is>
      </c>
    </row>
    <row r="3">
      <c r="A3" s="2" t="n">
        <v>2</v>
      </c>
      <c r="B3" s="2" t="inlineStr">
        <is>
          <t>C. Banda</t>
        </is>
      </c>
      <c r="C3" s="2" t="inlineStr">
        <is>
          <t>Entry Clerk</t>
        </is>
      </c>
      <c r="D3" s="2" t="inlineStr">
        <is>
          <t>+260-96-222-1111</t>
        </is>
      </c>
      <c r="E3" s="2" t="inlineStr">
        <is>
          <t>222222/10/1</t>
        </is>
      </c>
      <c r="F3" s="6" t="n">
        <v>45698</v>
      </c>
      <c r="G3" s="3" t="n">
        <v>2800</v>
      </c>
      <c r="H3" s="2" t="inlineStr">
        <is>
          <t>Active</t>
        </is>
      </c>
    </row>
    <row r="4">
      <c r="A4" s="2" t="n">
        <v>3</v>
      </c>
      <c r="B4" s="2" t="inlineStr">
        <is>
          <t>B. Tembo</t>
        </is>
      </c>
      <c r="C4" s="2" t="inlineStr">
        <is>
          <t>Supervisor</t>
        </is>
      </c>
      <c r="D4" s="2" t="inlineStr">
        <is>
          <t>+260-95-333-2222</t>
        </is>
      </c>
      <c r="E4" s="2" t="inlineStr">
        <is>
          <t>333333/10/1</t>
        </is>
      </c>
      <c r="F4" s="6" t="n">
        <v>45519</v>
      </c>
      <c r="G4" s="3" t="n">
        <v>4200</v>
      </c>
      <c r="H4" s="2" t="inlineStr">
        <is>
          <t>Active</t>
        </is>
      </c>
    </row>
    <row r="5">
      <c r="A5" s="2" t="n">
        <v>4</v>
      </c>
      <c r="B5" s="2" t="inlineStr">
        <is>
          <t>E. Zulu</t>
        </is>
      </c>
      <c r="C5" s="2" t="inlineStr">
        <is>
          <t>General Worker</t>
        </is>
      </c>
      <c r="D5" s="2" t="inlineStr">
        <is>
          <t>+260-97-666-7777</t>
        </is>
      </c>
      <c r="E5" s="2" t="inlineStr">
        <is>
          <t>444444/10/1</t>
        </is>
      </c>
      <c r="F5" s="6" t="n">
        <v>45778</v>
      </c>
      <c r="G5" s="3" t="n">
        <v>2200</v>
      </c>
      <c r="H5" s="2" t="inlineStr">
        <is>
          <t>Active</t>
        </is>
      </c>
    </row>
    <row r="6">
      <c r="A6" s="2" t="n">
        <v>5</v>
      </c>
      <c r="B6" s="2" t="inlineStr">
        <is>
          <t>G. Tembo</t>
        </is>
      </c>
      <c r="C6" s="2" t="inlineStr">
        <is>
          <t>General Worker</t>
        </is>
      </c>
      <c r="D6" s="2" t="inlineStr">
        <is>
          <t>+260-96-777-8888</t>
        </is>
      </c>
      <c r="E6" s="2" t="inlineStr">
        <is>
          <t>555555/10/1</t>
        </is>
      </c>
      <c r="F6" s="6" t="n">
        <v>45828</v>
      </c>
      <c r="G6" s="3" t="n">
        <v>2200</v>
      </c>
      <c r="H6" s="2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tabColor rgb="00548235"/>
    <outlinePr summaryBelow="1" summaryRight="1"/>
    <pageSetUpPr/>
  </sheetPr>
  <dimension ref="A1:N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0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  <col width="16" customWidth="1" min="11" max="11"/>
    <col width="12" customWidth="1" min="12" max="12"/>
    <col width="30" customWidth="1" min="13" max="13"/>
    <col width="10" customWidth="1" min="14" max="14"/>
  </cols>
  <sheetData>
    <row r="1">
      <c r="A1" s="5" t="inlineStr">
        <is>
          <t>EntryID</t>
        </is>
      </c>
      <c r="B1" s="5" t="inlineStr">
        <is>
          <t>FlockID</t>
        </is>
      </c>
      <c r="C1" s="5" t="inlineStr">
        <is>
          <t>Date</t>
        </is>
      </c>
      <c r="D1" s="5" t="inlineStr">
        <is>
          <t>TemperatureC</t>
        </is>
      </c>
      <c r="E1" s="5" t="inlineStr">
        <is>
          <t>HumidityPct</t>
        </is>
      </c>
      <c r="F1" s="5" t="inlineStr">
        <is>
          <t>WaterAvailable</t>
        </is>
      </c>
      <c r="G1" s="5" t="inlineStr">
        <is>
          <t>FeedAvailable</t>
        </is>
      </c>
      <c r="H1" s="5" t="inlineStr">
        <is>
          <t>DrinkersCleaned</t>
        </is>
      </c>
      <c r="I1" s="5" t="inlineStr">
        <is>
          <t>LitterCondition</t>
        </is>
      </c>
      <c r="J1" s="5" t="inlineStr">
        <is>
          <t>Ventilation</t>
        </is>
      </c>
      <c r="K1" s="5" t="inlineStr">
        <is>
          <t>SickBirdsObserved</t>
        </is>
      </c>
      <c r="L1" s="5" t="inlineStr">
        <is>
          <t>EmployeeID</t>
        </is>
      </c>
      <c r="M1" s="5" t="inlineStr">
        <is>
          <t>Notes</t>
        </is>
      </c>
      <c r="N1" s="5" t="inlineStr">
        <is>
          <t>IsActive</t>
        </is>
      </c>
    </row>
    <row r="2">
      <c r="A2" s="2" t="inlineStr">
        <is>
          <t>RTN-0001</t>
        </is>
      </c>
      <c r="B2" s="2" t="inlineStr">
        <is>
          <t>FLK-001</t>
        </is>
      </c>
      <c r="C2" s="6" t="n">
        <v>46162</v>
      </c>
      <c r="D2" s="9" t="n">
        <v>32</v>
      </c>
      <c r="E2" s="10" t="n">
        <v>62</v>
      </c>
      <c r="F2" s="2" t="inlineStr">
        <is>
          <t>Yes</t>
        </is>
      </c>
      <c r="G2" s="2" t="inlineStr">
        <is>
          <t>Yes</t>
        </is>
      </c>
      <c r="H2" s="2" t="inlineStr">
        <is>
          <t>No</t>
        </is>
      </c>
      <c r="I2" s="2" t="inlineStr">
        <is>
          <t>Damp</t>
        </is>
      </c>
      <c r="J2" s="2" t="inlineStr">
        <is>
          <t>Fair</t>
        </is>
      </c>
      <c r="K2" s="7" t="n">
        <v>1</v>
      </c>
      <c r="L2" s="2" t="n">
        <v>2</v>
      </c>
      <c r="M2" s="2" t="inlineStr">
        <is>
          <t>Minor issue noted, resolved same day</t>
        </is>
      </c>
      <c r="N2" s="2" t="inlineStr">
        <is>
          <t>Yes</t>
        </is>
      </c>
    </row>
    <row r="3">
      <c r="A3" s="2" t="inlineStr">
        <is>
          <t>RTN-0002</t>
        </is>
      </c>
      <c r="B3" s="2" t="inlineStr">
        <is>
          <t>FLK-001</t>
        </is>
      </c>
      <c r="C3" s="6" t="n">
        <v>46165</v>
      </c>
      <c r="D3" s="9" t="n">
        <v>31.6</v>
      </c>
      <c r="E3" s="10" t="n">
        <v>60</v>
      </c>
      <c r="F3" s="2" t="inlineStr">
        <is>
          <t>Yes</t>
        </is>
      </c>
      <c r="G3" s="2" t="inlineStr">
        <is>
          <t>Yes</t>
        </is>
      </c>
      <c r="H3" s="2" t="inlineStr">
        <is>
          <t>Yes</t>
        </is>
      </c>
      <c r="I3" s="2" t="inlineStr">
        <is>
          <t>Dry</t>
        </is>
      </c>
      <c r="J3" s="2" t="inlineStr">
        <is>
          <t>Good</t>
        </is>
      </c>
      <c r="K3" s="7" t="n">
        <v>0</v>
      </c>
      <c r="L3" s="2" t="n">
        <v>4</v>
      </c>
      <c r="M3" s="2" t="inlineStr">
        <is>
          <t>All normal</t>
        </is>
      </c>
      <c r="N3" s="2" t="inlineStr">
        <is>
          <t>Yes</t>
        </is>
      </c>
    </row>
    <row r="4">
      <c r="A4" s="2" t="inlineStr">
        <is>
          <t>RTN-0003</t>
        </is>
      </c>
      <c r="B4" s="2" t="inlineStr">
        <is>
          <t>FLK-001</t>
        </is>
      </c>
      <c r="C4" s="6" t="n">
        <v>46168</v>
      </c>
      <c r="D4" s="9" t="n">
        <v>31.1</v>
      </c>
      <c r="E4" s="10" t="n">
        <v>62</v>
      </c>
      <c r="F4" s="2" t="inlineStr">
        <is>
          <t>Yes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Dry</t>
        </is>
      </c>
      <c r="J4" s="2" t="inlineStr">
        <is>
          <t>Good</t>
        </is>
      </c>
      <c r="K4" s="7" t="n">
        <v>0</v>
      </c>
      <c r="L4" s="2" t="n">
        <v>4</v>
      </c>
      <c r="M4" s="2" t="inlineStr">
        <is>
          <t>All normal</t>
        </is>
      </c>
      <c r="N4" s="2" t="inlineStr">
        <is>
          <t>Yes</t>
        </is>
      </c>
    </row>
    <row r="5">
      <c r="A5" s="2" t="inlineStr">
        <is>
          <t>RTN-0004</t>
        </is>
      </c>
      <c r="B5" s="2" t="inlineStr">
        <is>
          <t>FLK-001</t>
        </is>
      </c>
      <c r="C5" s="6" t="n">
        <v>46171</v>
      </c>
      <c r="D5" s="9" t="n">
        <v>30.6</v>
      </c>
      <c r="E5" s="10" t="n">
        <v>60</v>
      </c>
      <c r="F5" s="2" t="inlineStr">
        <is>
          <t>Yes</t>
        </is>
      </c>
      <c r="G5" s="2" t="inlineStr">
        <is>
          <t>Yes</t>
        </is>
      </c>
      <c r="H5" s="2" t="inlineStr">
        <is>
          <t>Yes</t>
        </is>
      </c>
      <c r="I5" s="2" t="inlineStr">
        <is>
          <t>Dry</t>
        </is>
      </c>
      <c r="J5" s="2" t="inlineStr">
        <is>
          <t>Good</t>
        </is>
      </c>
      <c r="K5" s="7" t="n">
        <v>0</v>
      </c>
      <c r="L5" s="2" t="n">
        <v>2</v>
      </c>
      <c r="M5" s="2" t="inlineStr">
        <is>
          <t>All normal</t>
        </is>
      </c>
      <c r="N5" s="2" t="inlineStr">
        <is>
          <t>Yes</t>
        </is>
      </c>
    </row>
    <row r="6">
      <c r="A6" s="2" t="inlineStr">
        <is>
          <t>RTN-0005</t>
        </is>
      </c>
      <c r="B6" s="2" t="inlineStr">
        <is>
          <t>FLK-001</t>
        </is>
      </c>
      <c r="C6" s="6" t="n">
        <v>46174</v>
      </c>
      <c r="D6" s="9" t="n">
        <v>30.2</v>
      </c>
      <c r="E6" s="10" t="n">
        <v>62</v>
      </c>
      <c r="F6" s="2" t="inlineStr">
        <is>
          <t>Yes</t>
        </is>
      </c>
      <c r="G6" s="2" t="inlineStr">
        <is>
          <t>Yes</t>
        </is>
      </c>
      <c r="H6" s="2" t="inlineStr">
        <is>
          <t>No</t>
        </is>
      </c>
      <c r="I6" s="2" t="inlineStr">
        <is>
          <t>Dry</t>
        </is>
      </c>
      <c r="J6" s="2" t="inlineStr">
        <is>
          <t>Good</t>
        </is>
      </c>
      <c r="K6" s="7" t="n">
        <v>1</v>
      </c>
      <c r="L6" s="2" t="n">
        <v>4</v>
      </c>
      <c r="M6" s="2" t="inlineStr">
        <is>
          <t>Minor issue noted, resolved same day</t>
        </is>
      </c>
      <c r="N6" s="2" t="inlineStr">
        <is>
          <t>Yes</t>
        </is>
      </c>
    </row>
    <row r="7">
      <c r="A7" s="2" t="inlineStr">
        <is>
          <t>RTN-0006</t>
        </is>
      </c>
      <c r="B7" s="2" t="inlineStr">
        <is>
          <t>FLK-001</t>
        </is>
      </c>
      <c r="C7" s="6" t="n">
        <v>46177</v>
      </c>
      <c r="D7" s="9" t="n">
        <v>29.8</v>
      </c>
      <c r="E7" s="10" t="n">
        <v>60</v>
      </c>
      <c r="F7" s="2" t="inlineStr">
        <is>
          <t>Yes</t>
        </is>
      </c>
      <c r="G7" s="2" t="inlineStr">
        <is>
          <t>Yes</t>
        </is>
      </c>
      <c r="H7" s="2" t="inlineStr">
        <is>
          <t>Yes</t>
        </is>
      </c>
      <c r="I7" s="2" t="inlineStr">
        <is>
          <t>Damp</t>
        </is>
      </c>
      <c r="J7" s="2" t="inlineStr">
        <is>
          <t>Good</t>
        </is>
      </c>
      <c r="K7" s="7" t="n">
        <v>0</v>
      </c>
      <c r="L7" s="2" t="n">
        <v>4</v>
      </c>
      <c r="M7" s="2" t="inlineStr">
        <is>
          <t>All normal</t>
        </is>
      </c>
      <c r="N7" s="2" t="inlineStr">
        <is>
          <t>Yes</t>
        </is>
      </c>
    </row>
    <row r="8">
      <c r="A8" s="2" t="inlineStr">
        <is>
          <t>RTN-0007</t>
        </is>
      </c>
      <c r="B8" s="2" t="inlineStr">
        <is>
          <t>FLK-001</t>
        </is>
      </c>
      <c r="C8" s="6" t="n">
        <v>46180</v>
      </c>
      <c r="D8" s="9" t="n">
        <v>29.3</v>
      </c>
      <c r="E8" s="10" t="n">
        <v>62</v>
      </c>
      <c r="F8" s="2" t="inlineStr">
        <is>
          <t>Yes</t>
        </is>
      </c>
      <c r="G8" s="2" t="inlineStr">
        <is>
          <t>Yes</t>
        </is>
      </c>
      <c r="H8" s="2" t="inlineStr">
        <is>
          <t>Yes</t>
        </is>
      </c>
      <c r="I8" s="2" t="inlineStr">
        <is>
          <t>Dry</t>
        </is>
      </c>
      <c r="J8" s="2" t="inlineStr">
        <is>
          <t>Fair</t>
        </is>
      </c>
      <c r="K8" s="7" t="n">
        <v>0</v>
      </c>
      <c r="L8" s="2" t="n">
        <v>2</v>
      </c>
      <c r="M8" s="2" t="inlineStr">
        <is>
          <t>All normal</t>
        </is>
      </c>
      <c r="N8" s="2" t="inlineStr">
        <is>
          <t>Yes</t>
        </is>
      </c>
    </row>
    <row r="9">
      <c r="A9" s="2" t="inlineStr">
        <is>
          <t>RTN-0008</t>
        </is>
      </c>
      <c r="B9" s="2" t="inlineStr">
        <is>
          <t>FLK-001</t>
        </is>
      </c>
      <c r="C9" s="6" t="n">
        <v>46183</v>
      </c>
      <c r="D9" s="9" t="n">
        <v>28.9</v>
      </c>
      <c r="E9" s="10" t="n">
        <v>60</v>
      </c>
      <c r="F9" s="2" t="inlineStr">
        <is>
          <t>Yes</t>
        </is>
      </c>
      <c r="G9" s="2" t="inlineStr">
        <is>
          <t>Yes</t>
        </is>
      </c>
      <c r="H9" s="2" t="inlineStr">
        <is>
          <t>Yes</t>
        </is>
      </c>
      <c r="I9" s="2" t="inlineStr">
        <is>
          <t>Dry</t>
        </is>
      </c>
      <c r="J9" s="2" t="inlineStr">
        <is>
          <t>Good</t>
        </is>
      </c>
      <c r="K9" s="7" t="n">
        <v>0</v>
      </c>
      <c r="L9" s="2" t="n">
        <v>4</v>
      </c>
      <c r="M9" s="2" t="inlineStr">
        <is>
          <t>All normal</t>
        </is>
      </c>
      <c r="N9" s="2" t="inlineStr">
        <is>
          <t>Yes</t>
        </is>
      </c>
    </row>
    <row r="10">
      <c r="A10" s="2" t="inlineStr">
        <is>
          <t>RTN-0009</t>
        </is>
      </c>
      <c r="B10" s="2" t="inlineStr">
        <is>
          <t>FLK-001</t>
        </is>
      </c>
      <c r="C10" s="6" t="n">
        <v>46186</v>
      </c>
      <c r="D10" s="9" t="n">
        <v>28.4</v>
      </c>
      <c r="E10" s="10" t="n">
        <v>62</v>
      </c>
      <c r="F10" s="2" t="inlineStr">
        <is>
          <t>Yes</t>
        </is>
      </c>
      <c r="G10" s="2" t="inlineStr">
        <is>
          <t>Yes</t>
        </is>
      </c>
      <c r="H10" s="2" t="inlineStr">
        <is>
          <t>No</t>
        </is>
      </c>
      <c r="I10" s="2" t="inlineStr">
        <is>
          <t>Dry</t>
        </is>
      </c>
      <c r="J10" s="2" t="inlineStr">
        <is>
          <t>Good</t>
        </is>
      </c>
      <c r="K10" s="7" t="n">
        <v>1</v>
      </c>
      <c r="L10" s="2" t="n">
        <v>4</v>
      </c>
      <c r="M10" s="2" t="inlineStr">
        <is>
          <t>Minor issue noted, resolved same day</t>
        </is>
      </c>
      <c r="N10" s="2" t="inlineStr">
        <is>
          <t>Yes</t>
        </is>
      </c>
    </row>
    <row r="11">
      <c r="A11" s="2" t="inlineStr">
        <is>
          <t>RTN-0010</t>
        </is>
      </c>
      <c r="B11" s="2" t="inlineStr">
        <is>
          <t>FLK-001</t>
        </is>
      </c>
      <c r="C11" s="6" t="n">
        <v>46189</v>
      </c>
      <c r="D11" s="9" t="n">
        <v>27.9</v>
      </c>
      <c r="E11" s="10" t="n">
        <v>60</v>
      </c>
      <c r="F11" s="2" t="inlineStr">
        <is>
          <t>Yes</t>
        </is>
      </c>
      <c r="G11" s="2" t="inlineStr">
        <is>
          <t>Yes</t>
        </is>
      </c>
      <c r="H11" s="2" t="inlineStr">
        <is>
          <t>Yes</t>
        </is>
      </c>
      <c r="I11" s="2" t="inlineStr">
        <is>
          <t>Dry</t>
        </is>
      </c>
      <c r="J11" s="2" t="inlineStr">
        <is>
          <t>Good</t>
        </is>
      </c>
      <c r="K11" s="7" t="n">
        <v>0</v>
      </c>
      <c r="L11" s="2" t="n">
        <v>2</v>
      </c>
      <c r="M11" s="2" t="inlineStr">
        <is>
          <t>All normal</t>
        </is>
      </c>
      <c r="N11" s="2" t="inlineStr">
        <is>
          <t>Yes</t>
        </is>
      </c>
    </row>
    <row r="12">
      <c r="A12" s="2" t="inlineStr">
        <is>
          <t>RTN-0011</t>
        </is>
      </c>
      <c r="B12" s="2" t="inlineStr">
        <is>
          <t>FLK-001</t>
        </is>
      </c>
      <c r="C12" s="6" t="n">
        <v>46192</v>
      </c>
      <c r="D12" s="9" t="n">
        <v>27.5</v>
      </c>
      <c r="E12" s="10" t="n">
        <v>62</v>
      </c>
      <c r="F12" s="2" t="inlineStr">
        <is>
          <t>Yes</t>
        </is>
      </c>
      <c r="G12" s="2" t="inlineStr">
        <is>
          <t>Yes</t>
        </is>
      </c>
      <c r="H12" s="2" t="inlineStr">
        <is>
          <t>Yes</t>
        </is>
      </c>
      <c r="I12" s="2" t="inlineStr">
        <is>
          <t>Damp</t>
        </is>
      </c>
      <c r="J12" s="2" t="inlineStr">
        <is>
          <t>Good</t>
        </is>
      </c>
      <c r="K12" s="7" t="n">
        <v>0</v>
      </c>
      <c r="L12" s="2" t="n">
        <v>4</v>
      </c>
      <c r="M12" s="2" t="inlineStr">
        <is>
          <t>All normal</t>
        </is>
      </c>
      <c r="N12" s="2" t="inlineStr">
        <is>
          <t>Yes</t>
        </is>
      </c>
    </row>
    <row r="13">
      <c r="A13" s="2" t="inlineStr">
        <is>
          <t>RTN-0012</t>
        </is>
      </c>
      <c r="B13" s="2" t="inlineStr">
        <is>
          <t>FLK-001</t>
        </is>
      </c>
      <c r="C13" s="6" t="n">
        <v>46195</v>
      </c>
      <c r="D13" s="9" t="n">
        <v>27.1</v>
      </c>
      <c r="E13" s="10" t="n">
        <v>60</v>
      </c>
      <c r="F13" s="2" t="inlineStr">
        <is>
          <t>Yes</t>
        </is>
      </c>
      <c r="G13" s="2" t="inlineStr">
        <is>
          <t>Yes</t>
        </is>
      </c>
      <c r="H13" s="2" t="inlineStr">
        <is>
          <t>Yes</t>
        </is>
      </c>
      <c r="I13" s="2" t="inlineStr">
        <is>
          <t>Dry</t>
        </is>
      </c>
      <c r="J13" s="2" t="inlineStr">
        <is>
          <t>Good</t>
        </is>
      </c>
      <c r="K13" s="7" t="n">
        <v>0</v>
      </c>
      <c r="L13" s="2" t="n">
        <v>4</v>
      </c>
      <c r="M13" s="2" t="inlineStr">
        <is>
          <t>All normal</t>
        </is>
      </c>
      <c r="N13" s="2" t="inlineStr">
        <is>
          <t>Yes</t>
        </is>
      </c>
    </row>
    <row r="14">
      <c r="A14" s="2" t="inlineStr">
        <is>
          <t>RTN-0013</t>
        </is>
      </c>
      <c r="B14" s="2" t="inlineStr">
        <is>
          <t>FLK-001</t>
        </is>
      </c>
      <c r="C14" s="6" t="n">
        <v>46198</v>
      </c>
      <c r="D14" s="9" t="n">
        <v>26.6</v>
      </c>
      <c r="E14" s="10" t="n">
        <v>62</v>
      </c>
      <c r="F14" s="2" t="inlineStr">
        <is>
          <t>Yes</t>
        </is>
      </c>
      <c r="G14" s="2" t="inlineStr">
        <is>
          <t>Yes</t>
        </is>
      </c>
      <c r="H14" s="2" t="inlineStr">
        <is>
          <t>No</t>
        </is>
      </c>
      <c r="I14" s="2" t="inlineStr">
        <is>
          <t>Dry</t>
        </is>
      </c>
      <c r="J14" s="2" t="inlineStr">
        <is>
          <t>Fair</t>
        </is>
      </c>
      <c r="K14" s="7" t="n">
        <v>1</v>
      </c>
      <c r="L14" s="2" t="n">
        <v>2</v>
      </c>
      <c r="M14" s="2" t="inlineStr">
        <is>
          <t>Minor issue noted, resolved same day</t>
        </is>
      </c>
      <c r="N14" s="2" t="inlineStr">
        <is>
          <t>Yes</t>
        </is>
      </c>
    </row>
    <row r="15">
      <c r="A15" s="2" t="inlineStr">
        <is>
          <t>RTN-0014</t>
        </is>
      </c>
      <c r="B15" s="2" t="inlineStr">
        <is>
          <t>FLK-001</t>
        </is>
      </c>
      <c r="C15" s="6" t="n">
        <v>46201</v>
      </c>
      <c r="D15" s="9" t="n">
        <v>26.1</v>
      </c>
      <c r="E15" s="10" t="n">
        <v>60</v>
      </c>
      <c r="F15" s="2" t="inlineStr">
        <is>
          <t>Yes</t>
        </is>
      </c>
      <c r="G15" s="2" t="inlineStr">
        <is>
          <t>Yes</t>
        </is>
      </c>
      <c r="H15" s="2" t="inlineStr">
        <is>
          <t>Yes</t>
        </is>
      </c>
      <c r="I15" s="2" t="inlineStr">
        <is>
          <t>Dry</t>
        </is>
      </c>
      <c r="J15" s="2" t="inlineStr">
        <is>
          <t>Good</t>
        </is>
      </c>
      <c r="K15" s="7" t="n">
        <v>0</v>
      </c>
      <c r="L15" s="2" t="n">
        <v>4</v>
      </c>
      <c r="M15" s="2" t="inlineStr">
        <is>
          <t>All normal</t>
        </is>
      </c>
      <c r="N15" s="2" t="inlineStr">
        <is>
          <t>Yes</t>
        </is>
      </c>
    </row>
    <row r="16">
      <c r="A16" s="2" t="inlineStr">
        <is>
          <t>RTN-0015</t>
        </is>
      </c>
      <c r="B16" s="2" t="inlineStr">
        <is>
          <t>FLK-001</t>
        </is>
      </c>
      <c r="C16" s="6" t="n">
        <v>46204</v>
      </c>
      <c r="D16" s="9" t="n">
        <v>25.7</v>
      </c>
      <c r="E16" s="10" t="n">
        <v>62</v>
      </c>
      <c r="F16" s="2" t="inlineStr">
        <is>
          <t>Yes</t>
        </is>
      </c>
      <c r="G16" s="2" t="inlineStr">
        <is>
          <t>Yes</t>
        </is>
      </c>
      <c r="H16" s="2" t="inlineStr">
        <is>
          <t>Yes</t>
        </is>
      </c>
      <c r="I16" s="2" t="inlineStr">
        <is>
          <t>Dry</t>
        </is>
      </c>
      <c r="J16" s="2" t="inlineStr">
        <is>
          <t>Good</t>
        </is>
      </c>
      <c r="K16" s="7" t="n">
        <v>0</v>
      </c>
      <c r="L16" s="2" t="n">
        <v>4</v>
      </c>
      <c r="M16" s="2" t="inlineStr">
        <is>
          <t>All normal</t>
        </is>
      </c>
      <c r="N16" s="2" t="inlineStr">
        <is>
          <t>Yes</t>
        </is>
      </c>
    </row>
    <row r="17">
      <c r="A17" s="2" t="inlineStr">
        <is>
          <t>RTN-0016</t>
        </is>
      </c>
      <c r="B17" s="2" t="inlineStr">
        <is>
          <t>FLK-002</t>
        </is>
      </c>
      <c r="C17" s="6" t="n">
        <v>46198</v>
      </c>
      <c r="D17" s="9" t="n">
        <v>32</v>
      </c>
      <c r="E17" s="10" t="n">
        <v>62</v>
      </c>
      <c r="F17" s="2" t="inlineStr">
        <is>
          <t>Yes</t>
        </is>
      </c>
      <c r="G17" s="2" t="inlineStr">
        <is>
          <t>Yes</t>
        </is>
      </c>
      <c r="H17" s="2" t="inlineStr">
        <is>
          <t>No</t>
        </is>
      </c>
      <c r="I17" s="2" t="inlineStr">
        <is>
          <t>Damp</t>
        </is>
      </c>
      <c r="J17" s="2" t="inlineStr">
        <is>
          <t>Fair</t>
        </is>
      </c>
      <c r="K17" s="7" t="n">
        <v>1</v>
      </c>
      <c r="L17" s="2" t="n">
        <v>2</v>
      </c>
      <c r="M17" s="2" t="inlineStr">
        <is>
          <t>Minor issue noted, resolved same day</t>
        </is>
      </c>
      <c r="N17" s="2" t="inlineStr">
        <is>
          <t>Yes</t>
        </is>
      </c>
    </row>
    <row r="18">
      <c r="A18" s="2" t="inlineStr">
        <is>
          <t>RTN-0017</t>
        </is>
      </c>
      <c r="B18" s="2" t="inlineStr">
        <is>
          <t>FLK-002</t>
        </is>
      </c>
      <c r="C18" s="6" t="n">
        <v>46201</v>
      </c>
      <c r="D18" s="9" t="n">
        <v>31.6</v>
      </c>
      <c r="E18" s="10" t="n">
        <v>60</v>
      </c>
      <c r="F18" s="2" t="inlineStr">
        <is>
          <t>Yes</t>
        </is>
      </c>
      <c r="G18" s="2" t="inlineStr">
        <is>
          <t>Yes</t>
        </is>
      </c>
      <c r="H18" s="2" t="inlineStr">
        <is>
          <t>Yes</t>
        </is>
      </c>
      <c r="I18" s="2" t="inlineStr">
        <is>
          <t>Dry</t>
        </is>
      </c>
      <c r="J18" s="2" t="inlineStr">
        <is>
          <t>Good</t>
        </is>
      </c>
      <c r="K18" s="7" t="n">
        <v>0</v>
      </c>
      <c r="L18" s="2" t="n">
        <v>4</v>
      </c>
      <c r="M18" s="2" t="inlineStr">
        <is>
          <t>All normal</t>
        </is>
      </c>
      <c r="N18" s="2" t="inlineStr">
        <is>
          <t>Yes</t>
        </is>
      </c>
    </row>
    <row r="19">
      <c r="A19" s="2" t="inlineStr">
        <is>
          <t>RTN-0018</t>
        </is>
      </c>
      <c r="B19" s="2" t="inlineStr">
        <is>
          <t>FLK-002</t>
        </is>
      </c>
      <c r="C19" s="6" t="n">
        <v>46204</v>
      </c>
      <c r="D19" s="9" t="n">
        <v>31.1</v>
      </c>
      <c r="E19" s="10" t="n">
        <v>62</v>
      </c>
      <c r="F19" s="2" t="inlineStr">
        <is>
          <t>Yes</t>
        </is>
      </c>
      <c r="G19" s="2" t="inlineStr">
        <is>
          <t>Yes</t>
        </is>
      </c>
      <c r="H19" s="2" t="inlineStr">
        <is>
          <t>Yes</t>
        </is>
      </c>
      <c r="I19" s="2" t="inlineStr">
        <is>
          <t>Dry</t>
        </is>
      </c>
      <c r="J19" s="2" t="inlineStr">
        <is>
          <t>Good</t>
        </is>
      </c>
      <c r="K19" s="7" t="n">
        <v>0</v>
      </c>
      <c r="L19" s="2" t="n">
        <v>4</v>
      </c>
      <c r="M19" s="2" t="inlineStr">
        <is>
          <t>All normal</t>
        </is>
      </c>
      <c r="N19" s="2" t="inlineStr">
        <is>
          <t>Yes</t>
        </is>
      </c>
    </row>
    <row r="20">
      <c r="A20" s="2" t="inlineStr">
        <is>
          <t>RTN-0019</t>
        </is>
      </c>
      <c r="B20" s="2" t="inlineStr">
        <is>
          <t>FLK-002</t>
        </is>
      </c>
      <c r="C20" s="6" t="n">
        <v>46207</v>
      </c>
      <c r="D20" s="9" t="n">
        <v>30.6</v>
      </c>
      <c r="E20" s="10" t="n">
        <v>60</v>
      </c>
      <c r="F20" s="2" t="inlineStr">
        <is>
          <t>Yes</t>
        </is>
      </c>
      <c r="G20" s="2" t="inlineStr">
        <is>
          <t>Yes</t>
        </is>
      </c>
      <c r="H20" s="2" t="inlineStr">
        <is>
          <t>Yes</t>
        </is>
      </c>
      <c r="I20" s="2" t="inlineStr">
        <is>
          <t>Dry</t>
        </is>
      </c>
      <c r="J20" s="2" t="inlineStr">
        <is>
          <t>Good</t>
        </is>
      </c>
      <c r="K20" s="7" t="n">
        <v>0</v>
      </c>
      <c r="L20" s="2" t="n">
        <v>2</v>
      </c>
      <c r="M20" s="2" t="inlineStr">
        <is>
          <t>All normal</t>
        </is>
      </c>
      <c r="N20" s="2" t="inlineStr">
        <is>
          <t>Yes</t>
        </is>
      </c>
    </row>
    <row r="21">
      <c r="A21" s="2" t="inlineStr">
        <is>
          <t>RTN-0020</t>
        </is>
      </c>
      <c r="B21" s="2" t="inlineStr">
        <is>
          <t>FLK-002</t>
        </is>
      </c>
      <c r="C21" s="6" t="n">
        <v>46210</v>
      </c>
      <c r="D21" s="9" t="n">
        <v>30.2</v>
      </c>
      <c r="E21" s="10" t="n">
        <v>62</v>
      </c>
      <c r="F21" s="2" t="inlineStr">
        <is>
          <t>Yes</t>
        </is>
      </c>
      <c r="G21" s="2" t="inlineStr">
        <is>
          <t>Yes</t>
        </is>
      </c>
      <c r="H21" s="2" t="inlineStr">
        <is>
          <t>No</t>
        </is>
      </c>
      <c r="I21" s="2" t="inlineStr">
        <is>
          <t>Dry</t>
        </is>
      </c>
      <c r="J21" s="2" t="inlineStr">
        <is>
          <t>Good</t>
        </is>
      </c>
      <c r="K21" s="7" t="n">
        <v>1</v>
      </c>
      <c r="L21" s="2" t="n">
        <v>4</v>
      </c>
      <c r="M21" s="2" t="inlineStr">
        <is>
          <t>Minor issue noted, resolved same day</t>
        </is>
      </c>
      <c r="N21" s="2" t="inlineStr">
        <is>
          <t>Yes</t>
        </is>
      </c>
    </row>
    <row r="22">
      <c r="A22" s="2" t="inlineStr">
        <is>
          <t>RTN-0021</t>
        </is>
      </c>
      <c r="B22" s="2" t="inlineStr">
        <is>
          <t>FLK-002</t>
        </is>
      </c>
      <c r="C22" s="6" t="n">
        <v>46213</v>
      </c>
      <c r="D22" s="9" t="n">
        <v>29.8</v>
      </c>
      <c r="E22" s="10" t="n">
        <v>60</v>
      </c>
      <c r="F22" s="2" t="inlineStr">
        <is>
          <t>Yes</t>
        </is>
      </c>
      <c r="G22" s="2" t="inlineStr">
        <is>
          <t>Yes</t>
        </is>
      </c>
      <c r="H22" s="2" t="inlineStr">
        <is>
          <t>Yes</t>
        </is>
      </c>
      <c r="I22" s="2" t="inlineStr">
        <is>
          <t>Damp</t>
        </is>
      </c>
      <c r="J22" s="2" t="inlineStr">
        <is>
          <t>Good</t>
        </is>
      </c>
      <c r="K22" s="7" t="n">
        <v>0</v>
      </c>
      <c r="L22" s="2" t="n">
        <v>4</v>
      </c>
      <c r="M22" s="2" t="inlineStr">
        <is>
          <t>All normal</t>
        </is>
      </c>
      <c r="N22" s="2" t="inlineStr">
        <is>
          <t>Yes</t>
        </is>
      </c>
    </row>
    <row r="23">
      <c r="A23" s="2" t="inlineStr">
        <is>
          <t>RTN-0022</t>
        </is>
      </c>
      <c r="B23" s="2" t="inlineStr">
        <is>
          <t>FLK-002</t>
        </is>
      </c>
      <c r="C23" s="6" t="n">
        <v>46216</v>
      </c>
      <c r="D23" s="9" t="n">
        <v>29.3</v>
      </c>
      <c r="E23" s="10" t="n">
        <v>62</v>
      </c>
      <c r="F23" s="2" t="inlineStr">
        <is>
          <t>Yes</t>
        </is>
      </c>
      <c r="G23" s="2" t="inlineStr">
        <is>
          <t>Yes</t>
        </is>
      </c>
      <c r="H23" s="2" t="inlineStr">
        <is>
          <t>Yes</t>
        </is>
      </c>
      <c r="I23" s="2" t="inlineStr">
        <is>
          <t>Dry</t>
        </is>
      </c>
      <c r="J23" s="2" t="inlineStr">
        <is>
          <t>Fair</t>
        </is>
      </c>
      <c r="K23" s="7" t="n">
        <v>0</v>
      </c>
      <c r="L23" s="2" t="n">
        <v>2</v>
      </c>
      <c r="M23" s="2" t="inlineStr">
        <is>
          <t>All normal</t>
        </is>
      </c>
      <c r="N23" s="2" t="inlineStr">
        <is>
          <t>Yes</t>
        </is>
      </c>
    </row>
    <row r="24">
      <c r="A24" s="2" t="inlineStr">
        <is>
          <t>RTN-0023</t>
        </is>
      </c>
      <c r="B24" s="2" t="inlineStr">
        <is>
          <t>FLK-002</t>
        </is>
      </c>
      <c r="C24" s="6" t="n">
        <v>46219</v>
      </c>
      <c r="D24" s="9" t="n">
        <v>28.9</v>
      </c>
      <c r="E24" s="10" t="n">
        <v>60</v>
      </c>
      <c r="F24" s="2" t="inlineStr">
        <is>
          <t>Yes</t>
        </is>
      </c>
      <c r="G24" s="2" t="inlineStr">
        <is>
          <t>Yes</t>
        </is>
      </c>
      <c r="H24" s="2" t="inlineStr">
        <is>
          <t>Yes</t>
        </is>
      </c>
      <c r="I24" s="2" t="inlineStr">
        <is>
          <t>Dry</t>
        </is>
      </c>
      <c r="J24" s="2" t="inlineStr">
        <is>
          <t>Good</t>
        </is>
      </c>
      <c r="K24" s="7" t="n">
        <v>0</v>
      </c>
      <c r="L24" s="2" t="n">
        <v>4</v>
      </c>
      <c r="M24" s="2" t="inlineStr">
        <is>
          <t>All normal</t>
        </is>
      </c>
      <c r="N24" s="2" t="inlineStr">
        <is>
          <t>Yes</t>
        </is>
      </c>
    </row>
    <row r="25">
      <c r="A25" s="2" t="inlineStr">
        <is>
          <t>RTN-0024</t>
        </is>
      </c>
      <c r="B25" s="2" t="inlineStr">
        <is>
          <t>FLK-002</t>
        </is>
      </c>
      <c r="C25" s="6" t="n">
        <v>46222</v>
      </c>
      <c r="D25" s="9" t="n">
        <v>28.4</v>
      </c>
      <c r="E25" s="10" t="n">
        <v>62</v>
      </c>
      <c r="F25" s="2" t="inlineStr">
        <is>
          <t>Yes</t>
        </is>
      </c>
      <c r="G25" s="2" t="inlineStr">
        <is>
          <t>Yes</t>
        </is>
      </c>
      <c r="H25" s="2" t="inlineStr">
        <is>
          <t>No</t>
        </is>
      </c>
      <c r="I25" s="2" t="inlineStr">
        <is>
          <t>Dry</t>
        </is>
      </c>
      <c r="J25" s="2" t="inlineStr">
        <is>
          <t>Good</t>
        </is>
      </c>
      <c r="K25" s="7" t="n">
        <v>1</v>
      </c>
      <c r="L25" s="2" t="n">
        <v>4</v>
      </c>
      <c r="M25" s="2" t="inlineStr">
        <is>
          <t>Minor issue noted, resolved same day</t>
        </is>
      </c>
      <c r="N25" s="2" t="inlineStr">
        <is>
          <t>Yes</t>
        </is>
      </c>
    </row>
    <row r="26">
      <c r="A26" s="2" t="inlineStr">
        <is>
          <t>RTN-0025</t>
        </is>
      </c>
      <c r="B26" s="2" t="inlineStr">
        <is>
          <t>FLK-002</t>
        </is>
      </c>
      <c r="C26" s="6" t="n">
        <v>46225</v>
      </c>
      <c r="D26" s="9" t="n">
        <v>27.9</v>
      </c>
      <c r="E26" s="10" t="n">
        <v>60</v>
      </c>
      <c r="F26" s="2" t="inlineStr">
        <is>
          <t>Yes</t>
        </is>
      </c>
      <c r="G26" s="2" t="inlineStr">
        <is>
          <t>Yes</t>
        </is>
      </c>
      <c r="H26" s="2" t="inlineStr">
        <is>
          <t>Yes</t>
        </is>
      </c>
      <c r="I26" s="2" t="inlineStr">
        <is>
          <t>Dry</t>
        </is>
      </c>
      <c r="J26" s="2" t="inlineStr">
        <is>
          <t>Good</t>
        </is>
      </c>
      <c r="K26" s="7" t="n">
        <v>0</v>
      </c>
      <c r="L26" s="2" t="n">
        <v>2</v>
      </c>
      <c r="M26" s="2" t="inlineStr">
        <is>
          <t>All normal</t>
        </is>
      </c>
      <c r="N26" s="2" t="inlineStr">
        <is>
          <t>Yes</t>
        </is>
      </c>
    </row>
    <row r="27">
      <c r="A27" s="2" t="inlineStr">
        <is>
          <t>RTN-0026</t>
        </is>
      </c>
      <c r="B27" s="2" t="inlineStr">
        <is>
          <t>FLK-002</t>
        </is>
      </c>
      <c r="C27" s="6" t="n">
        <v>46228</v>
      </c>
      <c r="D27" s="9" t="n">
        <v>27.5</v>
      </c>
      <c r="E27" s="10" t="n">
        <v>62</v>
      </c>
      <c r="F27" s="2" t="inlineStr">
        <is>
          <t>Yes</t>
        </is>
      </c>
      <c r="G27" s="2" t="inlineStr">
        <is>
          <t>Yes</t>
        </is>
      </c>
      <c r="H27" s="2" t="inlineStr">
        <is>
          <t>Yes</t>
        </is>
      </c>
      <c r="I27" s="2" t="inlineStr">
        <is>
          <t>Damp</t>
        </is>
      </c>
      <c r="J27" s="2" t="inlineStr">
        <is>
          <t>Good</t>
        </is>
      </c>
      <c r="K27" s="7" t="n">
        <v>0</v>
      </c>
      <c r="L27" s="2" t="n">
        <v>4</v>
      </c>
      <c r="M27" s="2" t="inlineStr">
        <is>
          <t>All normal</t>
        </is>
      </c>
      <c r="N27" s="2" t="inlineStr">
        <is>
          <t>Yes</t>
        </is>
      </c>
    </row>
    <row r="28">
      <c r="A28" s="2" t="inlineStr">
        <is>
          <t>RTN-0027</t>
        </is>
      </c>
      <c r="B28" s="2" t="inlineStr">
        <is>
          <t>FLK-002</t>
        </is>
      </c>
      <c r="C28" s="6" t="n">
        <v>46231</v>
      </c>
      <c r="D28" s="9" t="n">
        <v>27.1</v>
      </c>
      <c r="E28" s="10" t="n">
        <v>60</v>
      </c>
      <c r="F28" s="2" t="inlineStr">
        <is>
          <t>Yes</t>
        </is>
      </c>
      <c r="G28" s="2" t="inlineStr">
        <is>
          <t>Yes</t>
        </is>
      </c>
      <c r="H28" s="2" t="inlineStr">
        <is>
          <t>Yes</t>
        </is>
      </c>
      <c r="I28" s="2" t="inlineStr">
        <is>
          <t>Dry</t>
        </is>
      </c>
      <c r="J28" s="2" t="inlineStr">
        <is>
          <t>Good</t>
        </is>
      </c>
      <c r="K28" s="7" t="n">
        <v>0</v>
      </c>
      <c r="L28" s="2" t="n">
        <v>4</v>
      </c>
      <c r="M28" s="2" t="inlineStr">
        <is>
          <t>All normal</t>
        </is>
      </c>
      <c r="N28" s="2" t="inlineStr">
        <is>
          <t>Yes</t>
        </is>
      </c>
    </row>
    <row r="29">
      <c r="A29" s="2" t="inlineStr">
        <is>
          <t>RTN-0028</t>
        </is>
      </c>
      <c r="B29" s="2" t="inlineStr">
        <is>
          <t>FLK-002</t>
        </is>
      </c>
      <c r="C29" s="6" t="n">
        <v>46234</v>
      </c>
      <c r="D29" s="9" t="n">
        <v>26.6</v>
      </c>
      <c r="E29" s="10" t="n">
        <v>62</v>
      </c>
      <c r="F29" s="2" t="inlineStr">
        <is>
          <t>Yes</t>
        </is>
      </c>
      <c r="G29" s="2" t="inlineStr">
        <is>
          <t>Yes</t>
        </is>
      </c>
      <c r="H29" s="2" t="inlineStr">
        <is>
          <t>No</t>
        </is>
      </c>
      <c r="I29" s="2" t="inlineStr">
        <is>
          <t>Dry</t>
        </is>
      </c>
      <c r="J29" s="2" t="inlineStr">
        <is>
          <t>Fair</t>
        </is>
      </c>
      <c r="K29" s="7" t="n">
        <v>1</v>
      </c>
      <c r="L29" s="2" t="n">
        <v>2</v>
      </c>
      <c r="M29" s="2" t="inlineStr">
        <is>
          <t>Minor issue noted, resolved same day</t>
        </is>
      </c>
      <c r="N29" s="2" t="inlineStr">
        <is>
          <t>Yes</t>
        </is>
      </c>
    </row>
    <row r="30">
      <c r="A30" s="2" t="inlineStr">
        <is>
          <t>RTN-0029</t>
        </is>
      </c>
      <c r="B30" s="2" t="inlineStr">
        <is>
          <t>FLK-002</t>
        </is>
      </c>
      <c r="C30" s="6" t="n">
        <v>46237</v>
      </c>
      <c r="D30" s="9" t="n">
        <v>26.1</v>
      </c>
      <c r="E30" s="10" t="n">
        <v>60</v>
      </c>
      <c r="F30" s="2" t="inlineStr">
        <is>
          <t>Yes</t>
        </is>
      </c>
      <c r="G30" s="2" t="inlineStr">
        <is>
          <t>Yes</t>
        </is>
      </c>
      <c r="H30" s="2" t="inlineStr">
        <is>
          <t>Yes</t>
        </is>
      </c>
      <c r="I30" s="2" t="inlineStr">
        <is>
          <t>Dry</t>
        </is>
      </c>
      <c r="J30" s="2" t="inlineStr">
        <is>
          <t>Good</t>
        </is>
      </c>
      <c r="K30" s="7" t="n">
        <v>0</v>
      </c>
      <c r="L30" s="2" t="n">
        <v>4</v>
      </c>
      <c r="M30" s="2" t="inlineStr">
        <is>
          <t>All normal</t>
        </is>
      </c>
      <c r="N30" s="2" t="inlineStr">
        <is>
          <t>Yes</t>
        </is>
      </c>
    </row>
    <row r="31">
      <c r="A31" s="2" t="inlineStr">
        <is>
          <t>RTN-0030</t>
        </is>
      </c>
      <c r="B31" s="2" t="inlineStr">
        <is>
          <t>FLK-002</t>
        </is>
      </c>
      <c r="C31" s="6" t="n">
        <v>46240</v>
      </c>
      <c r="D31" s="9" t="n">
        <v>25.7</v>
      </c>
      <c r="E31" s="10" t="n">
        <v>62</v>
      </c>
      <c r="F31" s="2" t="inlineStr">
        <is>
          <t>Yes</t>
        </is>
      </c>
      <c r="G31" s="2" t="inlineStr">
        <is>
          <t>Yes</t>
        </is>
      </c>
      <c r="H31" s="2" t="inlineStr">
        <is>
          <t>Yes</t>
        </is>
      </c>
      <c r="I31" s="2" t="inlineStr">
        <is>
          <t>Dry</t>
        </is>
      </c>
      <c r="J31" s="2" t="inlineStr">
        <is>
          <t>Good</t>
        </is>
      </c>
      <c r="K31" s="7" t="n">
        <v>0</v>
      </c>
      <c r="L31" s="2" t="n">
        <v>4</v>
      </c>
      <c r="M31" s="2" t="inlineStr">
        <is>
          <t>All normal</t>
        </is>
      </c>
      <c r="N31" s="2" t="inlineStr">
        <is>
          <t>Yes</t>
        </is>
      </c>
    </row>
    <row r="32">
      <c r="A32" s="2" t="inlineStr">
        <is>
          <t>RTN-0031</t>
        </is>
      </c>
      <c r="B32" s="2" t="inlineStr">
        <is>
          <t>FLK-003</t>
        </is>
      </c>
      <c r="C32" s="6" t="n">
        <v>46218</v>
      </c>
      <c r="D32" s="9" t="n">
        <v>32</v>
      </c>
      <c r="E32" s="10" t="n">
        <v>62</v>
      </c>
      <c r="F32" s="2" t="inlineStr">
        <is>
          <t>Yes</t>
        </is>
      </c>
      <c r="G32" s="2" t="inlineStr">
        <is>
          <t>Yes</t>
        </is>
      </c>
      <c r="H32" s="2" t="inlineStr">
        <is>
          <t>No</t>
        </is>
      </c>
      <c r="I32" s="2" t="inlineStr">
        <is>
          <t>Damp</t>
        </is>
      </c>
      <c r="J32" s="2" t="inlineStr">
        <is>
          <t>Fair</t>
        </is>
      </c>
      <c r="K32" s="7" t="n">
        <v>1</v>
      </c>
      <c r="L32" s="2" t="n">
        <v>2</v>
      </c>
      <c r="M32" s="2" t="inlineStr">
        <is>
          <t>Minor issue noted, resolved same day</t>
        </is>
      </c>
      <c r="N32" s="2" t="inlineStr">
        <is>
          <t>Yes</t>
        </is>
      </c>
    </row>
    <row r="33">
      <c r="A33" s="2" t="inlineStr">
        <is>
          <t>RTN-0032</t>
        </is>
      </c>
      <c r="B33" s="2" t="inlineStr">
        <is>
          <t>FLK-003</t>
        </is>
      </c>
      <c r="C33" s="6" t="n">
        <v>46221</v>
      </c>
      <c r="D33" s="9" t="n">
        <v>31.6</v>
      </c>
      <c r="E33" s="10" t="n">
        <v>60</v>
      </c>
      <c r="F33" s="2" t="inlineStr">
        <is>
          <t>Yes</t>
        </is>
      </c>
      <c r="G33" s="2" t="inlineStr">
        <is>
          <t>Yes</t>
        </is>
      </c>
      <c r="H33" s="2" t="inlineStr">
        <is>
          <t>Yes</t>
        </is>
      </c>
      <c r="I33" s="2" t="inlineStr">
        <is>
          <t>Dry</t>
        </is>
      </c>
      <c r="J33" s="2" t="inlineStr">
        <is>
          <t>Good</t>
        </is>
      </c>
      <c r="K33" s="7" t="n">
        <v>0</v>
      </c>
      <c r="L33" s="2" t="n">
        <v>4</v>
      </c>
      <c r="M33" s="2" t="inlineStr">
        <is>
          <t>All normal</t>
        </is>
      </c>
      <c r="N33" s="2" t="inlineStr">
        <is>
          <t>Yes</t>
        </is>
      </c>
    </row>
    <row r="34">
      <c r="A34" s="2" t="inlineStr">
        <is>
          <t>RTN-0033</t>
        </is>
      </c>
      <c r="B34" s="2" t="inlineStr">
        <is>
          <t>FLK-003</t>
        </is>
      </c>
      <c r="C34" s="6" t="n">
        <v>46224</v>
      </c>
      <c r="D34" s="9" t="n">
        <v>31.1</v>
      </c>
      <c r="E34" s="10" t="n">
        <v>62</v>
      </c>
      <c r="F34" s="2" t="inlineStr">
        <is>
          <t>Yes</t>
        </is>
      </c>
      <c r="G34" s="2" t="inlineStr">
        <is>
          <t>Yes</t>
        </is>
      </c>
      <c r="H34" s="2" t="inlineStr">
        <is>
          <t>Yes</t>
        </is>
      </c>
      <c r="I34" s="2" t="inlineStr">
        <is>
          <t>Dry</t>
        </is>
      </c>
      <c r="J34" s="2" t="inlineStr">
        <is>
          <t>Good</t>
        </is>
      </c>
      <c r="K34" s="7" t="n">
        <v>0</v>
      </c>
      <c r="L34" s="2" t="n">
        <v>4</v>
      </c>
      <c r="M34" s="2" t="inlineStr">
        <is>
          <t>All normal</t>
        </is>
      </c>
      <c r="N34" s="2" t="inlineStr">
        <is>
          <t>Yes</t>
        </is>
      </c>
    </row>
    <row r="35">
      <c r="A35" s="2" t="inlineStr">
        <is>
          <t>RTN-0034</t>
        </is>
      </c>
      <c r="B35" s="2" t="inlineStr">
        <is>
          <t>FLK-003</t>
        </is>
      </c>
      <c r="C35" s="6" t="n">
        <v>46227</v>
      </c>
      <c r="D35" s="9" t="n">
        <v>30.6</v>
      </c>
      <c r="E35" s="10" t="n">
        <v>60</v>
      </c>
      <c r="F35" s="2" t="inlineStr">
        <is>
          <t>Yes</t>
        </is>
      </c>
      <c r="G35" s="2" t="inlineStr">
        <is>
          <t>Yes</t>
        </is>
      </c>
      <c r="H35" s="2" t="inlineStr">
        <is>
          <t>Yes</t>
        </is>
      </c>
      <c r="I35" s="2" t="inlineStr">
        <is>
          <t>Dry</t>
        </is>
      </c>
      <c r="J35" s="2" t="inlineStr">
        <is>
          <t>Good</t>
        </is>
      </c>
      <c r="K35" s="7" t="n">
        <v>0</v>
      </c>
      <c r="L35" s="2" t="n">
        <v>2</v>
      </c>
      <c r="M35" s="2" t="inlineStr">
        <is>
          <t>All normal</t>
        </is>
      </c>
      <c r="N35" s="2" t="inlineStr">
        <is>
          <t>Yes</t>
        </is>
      </c>
    </row>
    <row r="36">
      <c r="A36" s="2" t="inlineStr">
        <is>
          <t>RTN-0035</t>
        </is>
      </c>
      <c r="B36" s="2" t="inlineStr">
        <is>
          <t>FLK-003</t>
        </is>
      </c>
      <c r="C36" s="6" t="n">
        <v>46230</v>
      </c>
      <c r="D36" s="9" t="n">
        <v>30.2</v>
      </c>
      <c r="E36" s="10" t="n">
        <v>62</v>
      </c>
      <c r="F36" s="2" t="inlineStr">
        <is>
          <t>Yes</t>
        </is>
      </c>
      <c r="G36" s="2" t="inlineStr">
        <is>
          <t>Yes</t>
        </is>
      </c>
      <c r="H36" s="2" t="inlineStr">
        <is>
          <t>No</t>
        </is>
      </c>
      <c r="I36" s="2" t="inlineStr">
        <is>
          <t>Dry</t>
        </is>
      </c>
      <c r="J36" s="2" t="inlineStr">
        <is>
          <t>Good</t>
        </is>
      </c>
      <c r="K36" s="7" t="n">
        <v>1</v>
      </c>
      <c r="L36" s="2" t="n">
        <v>4</v>
      </c>
      <c r="M36" s="2" t="inlineStr">
        <is>
          <t>Minor issue noted, resolved same day</t>
        </is>
      </c>
      <c r="N36" s="2" t="inlineStr">
        <is>
          <t>Yes</t>
        </is>
      </c>
    </row>
    <row r="37">
      <c r="A37" s="2" t="inlineStr">
        <is>
          <t>RTN-0036</t>
        </is>
      </c>
      <c r="B37" s="2" t="inlineStr">
        <is>
          <t>FLK-003</t>
        </is>
      </c>
      <c r="C37" s="6" t="n">
        <v>46233</v>
      </c>
      <c r="D37" s="9" t="n">
        <v>29.8</v>
      </c>
      <c r="E37" s="10" t="n">
        <v>60</v>
      </c>
      <c r="F37" s="2" t="inlineStr">
        <is>
          <t>Yes</t>
        </is>
      </c>
      <c r="G37" s="2" t="inlineStr">
        <is>
          <t>Yes</t>
        </is>
      </c>
      <c r="H37" s="2" t="inlineStr">
        <is>
          <t>Yes</t>
        </is>
      </c>
      <c r="I37" s="2" t="inlineStr">
        <is>
          <t>Damp</t>
        </is>
      </c>
      <c r="J37" s="2" t="inlineStr">
        <is>
          <t>Good</t>
        </is>
      </c>
      <c r="K37" s="7" t="n">
        <v>0</v>
      </c>
      <c r="L37" s="2" t="n">
        <v>4</v>
      </c>
      <c r="M37" s="2" t="inlineStr">
        <is>
          <t>All normal</t>
        </is>
      </c>
      <c r="N37" s="2" t="inlineStr">
        <is>
          <t>Yes</t>
        </is>
      </c>
    </row>
    <row r="38">
      <c r="A38" s="2" t="inlineStr">
        <is>
          <t>RTN-0037</t>
        </is>
      </c>
      <c r="B38" s="2" t="inlineStr">
        <is>
          <t>FLK-003</t>
        </is>
      </c>
      <c r="C38" s="6" t="n">
        <v>46236</v>
      </c>
      <c r="D38" s="9" t="n">
        <v>29.3</v>
      </c>
      <c r="E38" s="10" t="n">
        <v>62</v>
      </c>
      <c r="F38" s="2" t="inlineStr">
        <is>
          <t>Yes</t>
        </is>
      </c>
      <c r="G38" s="2" t="inlineStr">
        <is>
          <t>Yes</t>
        </is>
      </c>
      <c r="H38" s="2" t="inlineStr">
        <is>
          <t>Yes</t>
        </is>
      </c>
      <c r="I38" s="2" t="inlineStr">
        <is>
          <t>Dry</t>
        </is>
      </c>
      <c r="J38" s="2" t="inlineStr">
        <is>
          <t>Fair</t>
        </is>
      </c>
      <c r="K38" s="7" t="n">
        <v>0</v>
      </c>
      <c r="L38" s="2" t="n">
        <v>2</v>
      </c>
      <c r="M38" s="2" t="inlineStr">
        <is>
          <t>All normal</t>
        </is>
      </c>
      <c r="N38" s="2" t="inlineStr">
        <is>
          <t>Yes</t>
        </is>
      </c>
    </row>
    <row r="39">
      <c r="A39" s="2" t="inlineStr">
        <is>
          <t>RTN-0038</t>
        </is>
      </c>
      <c r="B39" s="2" t="inlineStr">
        <is>
          <t>FLK-003</t>
        </is>
      </c>
      <c r="C39" s="6" t="n">
        <v>46239</v>
      </c>
      <c r="D39" s="9" t="n">
        <v>28.9</v>
      </c>
      <c r="E39" s="10" t="n">
        <v>60</v>
      </c>
      <c r="F39" s="2" t="inlineStr">
        <is>
          <t>Yes</t>
        </is>
      </c>
      <c r="G39" s="2" t="inlineStr">
        <is>
          <t>Yes</t>
        </is>
      </c>
      <c r="H39" s="2" t="inlineStr">
        <is>
          <t>Yes</t>
        </is>
      </c>
      <c r="I39" s="2" t="inlineStr">
        <is>
          <t>Dry</t>
        </is>
      </c>
      <c r="J39" s="2" t="inlineStr">
        <is>
          <t>Good</t>
        </is>
      </c>
      <c r="K39" s="7" t="n">
        <v>0</v>
      </c>
      <c r="L39" s="2" t="n">
        <v>4</v>
      </c>
      <c r="M39" s="2" t="inlineStr">
        <is>
          <t>All normal</t>
        </is>
      </c>
      <c r="N39" s="2" t="inlineStr">
        <is>
          <t>Yes</t>
        </is>
      </c>
    </row>
    <row r="40">
      <c r="A40" s="2" t="inlineStr">
        <is>
          <t>RTN-0039</t>
        </is>
      </c>
      <c r="B40" s="2" t="inlineStr">
        <is>
          <t>FLK-003</t>
        </is>
      </c>
      <c r="C40" s="6" t="n">
        <v>46242</v>
      </c>
      <c r="D40" s="9" t="n">
        <v>28.4</v>
      </c>
      <c r="E40" s="10" t="n">
        <v>62</v>
      </c>
      <c r="F40" s="2" t="inlineStr">
        <is>
          <t>Yes</t>
        </is>
      </c>
      <c r="G40" s="2" t="inlineStr">
        <is>
          <t>Yes</t>
        </is>
      </c>
      <c r="H40" s="2" t="inlineStr">
        <is>
          <t>No</t>
        </is>
      </c>
      <c r="I40" s="2" t="inlineStr">
        <is>
          <t>Dry</t>
        </is>
      </c>
      <c r="J40" s="2" t="inlineStr">
        <is>
          <t>Good</t>
        </is>
      </c>
      <c r="K40" s="7" t="n">
        <v>1</v>
      </c>
      <c r="L40" s="2" t="n">
        <v>4</v>
      </c>
      <c r="M40" s="2" t="inlineStr">
        <is>
          <t>Minor issue noted, resolved same day</t>
        </is>
      </c>
      <c r="N40" s="2" t="inlineStr">
        <is>
          <t>Yes</t>
        </is>
      </c>
    </row>
    <row r="41">
      <c r="A41" s="2" t="inlineStr">
        <is>
          <t>RTN-0040</t>
        </is>
      </c>
      <c r="B41" s="2" t="inlineStr">
        <is>
          <t>FLK-004</t>
        </is>
      </c>
      <c r="C41" s="6" t="n">
        <v>46235</v>
      </c>
      <c r="D41" s="9" t="n">
        <v>32</v>
      </c>
      <c r="E41" s="10" t="n">
        <v>62</v>
      </c>
      <c r="F41" s="2" t="inlineStr">
        <is>
          <t>Yes</t>
        </is>
      </c>
      <c r="G41" s="2" t="inlineStr">
        <is>
          <t>Yes</t>
        </is>
      </c>
      <c r="H41" s="2" t="inlineStr">
        <is>
          <t>No</t>
        </is>
      </c>
      <c r="I41" s="2" t="inlineStr">
        <is>
          <t>Damp</t>
        </is>
      </c>
      <c r="J41" s="2" t="inlineStr">
        <is>
          <t>Fair</t>
        </is>
      </c>
      <c r="K41" s="7" t="n">
        <v>1</v>
      </c>
      <c r="L41" s="2" t="n">
        <v>2</v>
      </c>
      <c r="M41" s="2" t="inlineStr">
        <is>
          <t>Minor issue noted, resolved same day</t>
        </is>
      </c>
      <c r="N41" s="2" t="inlineStr">
        <is>
          <t>Yes</t>
        </is>
      </c>
    </row>
    <row r="42">
      <c r="A42" s="2" t="inlineStr">
        <is>
          <t>RTN-0041</t>
        </is>
      </c>
      <c r="B42" s="2" t="inlineStr">
        <is>
          <t>FLK-004</t>
        </is>
      </c>
      <c r="C42" s="6" t="n">
        <v>46238</v>
      </c>
      <c r="D42" s="9" t="n">
        <v>31.6</v>
      </c>
      <c r="E42" s="10" t="n">
        <v>60</v>
      </c>
      <c r="F42" s="2" t="inlineStr">
        <is>
          <t>Yes</t>
        </is>
      </c>
      <c r="G42" s="2" t="inlineStr">
        <is>
          <t>Yes</t>
        </is>
      </c>
      <c r="H42" s="2" t="inlineStr">
        <is>
          <t>Yes</t>
        </is>
      </c>
      <c r="I42" s="2" t="inlineStr">
        <is>
          <t>Dry</t>
        </is>
      </c>
      <c r="J42" s="2" t="inlineStr">
        <is>
          <t>Good</t>
        </is>
      </c>
      <c r="K42" s="7" t="n">
        <v>0</v>
      </c>
      <c r="L42" s="2" t="n">
        <v>4</v>
      </c>
      <c r="M42" s="2" t="inlineStr">
        <is>
          <t>All normal</t>
        </is>
      </c>
      <c r="N42" s="2" t="inlineStr">
        <is>
          <t>Yes</t>
        </is>
      </c>
    </row>
    <row r="43">
      <c r="A43" s="2" t="inlineStr">
        <is>
          <t>RTN-0042</t>
        </is>
      </c>
      <c r="B43" s="2" t="inlineStr">
        <is>
          <t>FLK-004</t>
        </is>
      </c>
      <c r="C43" s="6" t="n">
        <v>46241</v>
      </c>
      <c r="D43" s="9" t="n">
        <v>31.1</v>
      </c>
      <c r="E43" s="10" t="n">
        <v>62</v>
      </c>
      <c r="F43" s="2" t="inlineStr">
        <is>
          <t>Yes</t>
        </is>
      </c>
      <c r="G43" s="2" t="inlineStr">
        <is>
          <t>Yes</t>
        </is>
      </c>
      <c r="H43" s="2" t="inlineStr">
        <is>
          <t>Yes</t>
        </is>
      </c>
      <c r="I43" s="2" t="inlineStr">
        <is>
          <t>Dry</t>
        </is>
      </c>
      <c r="J43" s="2" t="inlineStr">
        <is>
          <t>Good</t>
        </is>
      </c>
      <c r="K43" s="7" t="n">
        <v>0</v>
      </c>
      <c r="L43" s="2" t="n">
        <v>4</v>
      </c>
      <c r="M43" s="2" t="inlineStr">
        <is>
          <t>All normal</t>
        </is>
      </c>
      <c r="N43" s="2" t="inlineStr">
        <is>
          <t>Yes</t>
        </is>
      </c>
    </row>
  </sheetData>
  <dataValidations count="7">
    <dataValidation sqref="B2:B93" showDropDown="0" showInputMessage="0" showErrorMessage="0" allowBlank="0" type="list">
      <formula1>=FlockID_List</formula1>
    </dataValidation>
    <dataValidation sqref="F2:F93" showDropDown="0" showInputMessage="0" showErrorMessage="0" allowBlank="0" type="list">
      <formula1>=List_YesNo</formula1>
    </dataValidation>
    <dataValidation sqref="G2:G93" showDropDown="0" showInputMessage="0" showErrorMessage="0" allowBlank="0" type="list">
      <formula1>=List_YesNo</formula1>
    </dataValidation>
    <dataValidation sqref="H2:H93" showDropDown="0" showInputMessage="0" showErrorMessage="0" allowBlank="0" type="list">
      <formula1>=List_YesNo</formula1>
    </dataValidation>
    <dataValidation sqref="I2:I93" showDropDown="0" showInputMessage="0" showErrorMessage="0" allowBlank="0" type="list">
      <formula1>=List_LitterCondition</formula1>
    </dataValidation>
    <dataValidation sqref="J2:J93" showDropDown="0" showInputMessage="0" showErrorMessage="0" allowBlank="0" type="list">
      <formula1>=List_Ventilation</formula1>
    </dataValidation>
    <dataValidation sqref="L2:L93" showDropDown="0" showInputMessage="0" showErrorMessage="0" allowBlank="1" type="list">
      <formula1>=EmployeeID_List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tabColor rgb="00548235"/>
    <outlinePr summaryBelow="1" summaryRight="1"/>
    <pageSetUpPr/>
  </sheetPr>
  <dimension ref="A1:M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10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4" customWidth="1" min="10" max="10"/>
    <col width="16" customWidth="1" min="11" max="11"/>
    <col width="14" customWidth="1" min="12" max="12"/>
    <col width="10" customWidth="1" min="13" max="13"/>
  </cols>
  <sheetData>
    <row r="1">
      <c r="A1" s="5" t="inlineStr">
        <is>
          <t>EntryID</t>
        </is>
      </c>
      <c r="B1" s="5" t="inlineStr">
        <is>
          <t>Date</t>
        </is>
      </c>
      <c r="C1" s="5" t="inlineStr">
        <is>
          <t>SupplierID</t>
        </is>
      </c>
      <c r="D1" s="5" t="inlineStr">
        <is>
          <t>FeedID</t>
        </is>
      </c>
      <c r="E1" s="5" t="inlineStr">
        <is>
          <t>NumberOfBags</t>
        </is>
      </c>
      <c r="F1" s="5" t="inlineStr">
        <is>
          <t>BagWeightKg</t>
        </is>
      </c>
      <c r="G1" s="5" t="inlineStr">
        <is>
          <t>UnitCostPerBag_ZMW</t>
        </is>
      </c>
      <c r="H1" s="5" t="inlineStr">
        <is>
          <t>TotalWeightKg</t>
        </is>
      </c>
      <c r="I1" s="5" t="inlineStr">
        <is>
          <t>TotalCost_ZMW</t>
        </is>
      </c>
      <c r="J1" s="5" t="inlineStr">
        <is>
          <t>InvoiceNo</t>
        </is>
      </c>
      <c r="K1" s="5" t="inlineStr">
        <is>
          <t>PaymentMethod</t>
        </is>
      </c>
      <c r="L1" s="5" t="inlineStr">
        <is>
          <t>EnteredBy</t>
        </is>
      </c>
      <c r="M1" s="5" t="inlineStr">
        <is>
          <t>IsActive</t>
        </is>
      </c>
    </row>
    <row r="2">
      <c r="A2" s="2" t="inlineStr">
        <is>
          <t>FPO-0001</t>
        </is>
      </c>
      <c r="B2" s="6" t="n">
        <v>46163</v>
      </c>
      <c r="C2" s="2" t="n">
        <v>2</v>
      </c>
      <c r="D2" s="2" t="n">
        <v>1</v>
      </c>
      <c r="E2" s="2" t="n">
        <v>64</v>
      </c>
      <c r="F2" s="7" t="n">
        <v>50</v>
      </c>
      <c r="G2" s="3" t="n">
        <v>625</v>
      </c>
      <c r="H2" s="7">
        <f>$E2*$F2</f>
        <v/>
      </c>
      <c r="I2" s="3">
        <f>ROUND($E2*$G2,2)</f>
        <v/>
      </c>
      <c r="J2" s="2" t="inlineStr">
        <is>
          <t>2300801</t>
        </is>
      </c>
      <c r="K2" s="2" t="inlineStr">
        <is>
          <t>Bank Transfer</t>
        </is>
      </c>
      <c r="L2" s="2" t="inlineStr">
        <is>
          <t>A. Mwansa</t>
        </is>
      </c>
      <c r="M2" s="2" t="inlineStr">
        <is>
          <t>Yes</t>
        </is>
      </c>
    </row>
    <row r="3">
      <c r="A3" s="2" t="inlineStr">
        <is>
          <t>FPO-0002</t>
        </is>
      </c>
      <c r="B3" s="6" t="n">
        <v>46171</v>
      </c>
      <c r="C3" s="2" t="n">
        <v>2</v>
      </c>
      <c r="D3" s="2" t="n">
        <v>2</v>
      </c>
      <c r="E3" s="2" t="n">
        <v>207</v>
      </c>
      <c r="F3" s="7" t="n">
        <v>50</v>
      </c>
      <c r="G3" s="3" t="n">
        <v>590</v>
      </c>
      <c r="H3" s="7">
        <f>$E3*$F3</f>
        <v/>
      </c>
      <c r="I3" s="3">
        <f>ROUND($E3*$G3,2)</f>
        <v/>
      </c>
      <c r="J3" s="2" t="inlineStr">
        <is>
          <t>2300803</t>
        </is>
      </c>
      <c r="K3" s="2" t="inlineStr">
        <is>
          <t>Bank Transfer</t>
        </is>
      </c>
      <c r="L3" s="2" t="inlineStr">
        <is>
          <t>A. Mwansa</t>
        </is>
      </c>
      <c r="M3" s="2" t="inlineStr">
        <is>
          <t>Yes</t>
        </is>
      </c>
    </row>
    <row r="4">
      <c r="A4" s="2" t="inlineStr">
        <is>
          <t>FPO-0003</t>
        </is>
      </c>
      <c r="B4" s="6" t="n">
        <v>46175</v>
      </c>
      <c r="C4" s="2" t="n">
        <v>2</v>
      </c>
      <c r="D4" s="2" t="n">
        <v>1</v>
      </c>
      <c r="E4" s="2" t="n">
        <v>43</v>
      </c>
      <c r="F4" s="7" t="n">
        <v>50</v>
      </c>
      <c r="G4" s="3" t="n">
        <v>625</v>
      </c>
      <c r="H4" s="7">
        <f>$E4*$F4</f>
        <v/>
      </c>
      <c r="I4" s="3">
        <f>ROUND($E4*$G4,2)</f>
        <v/>
      </c>
      <c r="J4" s="2" t="inlineStr">
        <is>
          <t>2300802</t>
        </is>
      </c>
      <c r="K4" s="2" t="inlineStr">
        <is>
          <t>Bank Transfer</t>
        </is>
      </c>
      <c r="L4" s="2" t="inlineStr">
        <is>
          <t>A. Mwansa</t>
        </is>
      </c>
      <c r="M4" s="2" t="inlineStr">
        <is>
          <t>Yes</t>
        </is>
      </c>
    </row>
    <row r="5">
      <c r="A5" s="2" t="inlineStr">
        <is>
          <t>FPO-0004</t>
        </is>
      </c>
      <c r="B5" s="6" t="n">
        <v>46183</v>
      </c>
      <c r="C5" s="2" t="n">
        <v>2</v>
      </c>
      <c r="D5" s="2" t="n">
        <v>2</v>
      </c>
      <c r="E5" s="2" t="n">
        <v>138</v>
      </c>
      <c r="F5" s="7" t="n">
        <v>50</v>
      </c>
      <c r="G5" s="3" t="n">
        <v>590</v>
      </c>
      <c r="H5" s="7">
        <f>$E5*$F5</f>
        <v/>
      </c>
      <c r="I5" s="3">
        <f>ROUND($E5*$G5,2)</f>
        <v/>
      </c>
      <c r="J5" s="2" t="inlineStr">
        <is>
          <t>2300804</t>
        </is>
      </c>
      <c r="K5" s="2" t="inlineStr">
        <is>
          <t>Bank Transfer</t>
        </is>
      </c>
      <c r="L5" s="2" t="inlineStr">
        <is>
          <t>A. Mwansa</t>
        </is>
      </c>
      <c r="M5" s="2" t="inlineStr">
        <is>
          <t>Yes</t>
        </is>
      </c>
    </row>
    <row r="6">
      <c r="A6" s="2" t="inlineStr">
        <is>
          <t>FPO-0005</t>
        </is>
      </c>
      <c r="B6" s="6" t="n">
        <v>46187</v>
      </c>
      <c r="C6" s="2" t="n">
        <v>2</v>
      </c>
      <c r="D6" s="2" t="n">
        <v>3</v>
      </c>
      <c r="E6" s="2" t="n">
        <v>255</v>
      </c>
      <c r="F6" s="7" t="n">
        <v>50</v>
      </c>
      <c r="G6" s="3" t="n">
        <v>560</v>
      </c>
      <c r="H6" s="7">
        <f>$E6*$F6</f>
        <v/>
      </c>
      <c r="I6" s="3">
        <f>ROUND($E6*$G6,2)</f>
        <v/>
      </c>
      <c r="J6" s="2" t="inlineStr">
        <is>
          <t>2300805</t>
        </is>
      </c>
      <c r="K6" s="2" t="inlineStr">
        <is>
          <t>Bank Transfer</t>
        </is>
      </c>
      <c r="L6" s="2" t="inlineStr">
        <is>
          <t>A. Mwansa</t>
        </is>
      </c>
      <c r="M6" s="2" t="inlineStr">
        <is>
          <t>Yes</t>
        </is>
      </c>
    </row>
    <row r="7">
      <c r="A7" s="2" t="inlineStr">
        <is>
          <t>FPO-0006</t>
        </is>
      </c>
      <c r="B7" s="6" t="n">
        <v>46199</v>
      </c>
      <c r="C7" s="2" t="n">
        <v>2</v>
      </c>
      <c r="D7" s="2" t="n">
        <v>3</v>
      </c>
      <c r="E7" s="2" t="n">
        <v>170</v>
      </c>
      <c r="F7" s="7" t="n">
        <v>50</v>
      </c>
      <c r="G7" s="3" t="n">
        <v>560</v>
      </c>
      <c r="H7" s="7">
        <f>$E7*$F7</f>
        <v/>
      </c>
      <c r="I7" s="3">
        <f>ROUND($E7*$G7,2)</f>
        <v/>
      </c>
      <c r="J7" s="2" t="inlineStr">
        <is>
          <t>2300806</t>
        </is>
      </c>
      <c r="K7" s="2" t="inlineStr">
        <is>
          <t>Bank Transfer</t>
        </is>
      </c>
      <c r="L7" s="2" t="inlineStr">
        <is>
          <t>A. Mwansa</t>
        </is>
      </c>
      <c r="M7" s="2" t="inlineStr">
        <is>
          <t>Yes</t>
        </is>
      </c>
    </row>
  </sheetData>
  <dataValidations count="3">
    <dataValidation sqref="C2:C57" showDropDown="0" showInputMessage="0" showErrorMessage="0" allowBlank="0" type="list">
      <formula1>=SupplierID_List</formula1>
    </dataValidation>
    <dataValidation sqref="D2:D57" showDropDown="0" showInputMessage="0" showErrorMessage="0" allowBlank="0" type="list">
      <formula1>=FeedID_List</formula1>
    </dataValidation>
    <dataValidation sqref="K2:K57" showDropDown="0" showInputMessage="0" showErrorMessage="0" allowBlank="0" type="list">
      <formula1>=List_PaymentMethod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tabColor rgb="00BF8F00"/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 outlineLevelCol="0"/>
  <cols>
    <col width="10" customWidth="1" min="1" max="1"/>
    <col width="16" customWidth="1" min="2" max="2"/>
    <col width="16" customWidth="1" min="3" max="3"/>
    <col width="14" customWidth="1" min="4" max="4"/>
    <col width="12" customWidth="1" min="5" max="5"/>
    <col width="14" customWidth="1" min="6" max="6"/>
    <col width="14" customWidth="1" min="7" max="7"/>
    <col width="12" customWidth="1" min="8" max="8"/>
  </cols>
  <sheetData>
    <row r="1">
      <c r="A1" s="11" t="inlineStr">
        <is>
          <t>FeedID</t>
        </is>
      </c>
      <c r="B1" s="11" t="inlineStr">
        <is>
          <t>FeedType</t>
        </is>
      </c>
      <c r="C1" s="11" t="inlineStr">
        <is>
          <t>OpeningStockKg</t>
        </is>
      </c>
      <c r="D1" s="11" t="inlineStr">
        <is>
          <t>PurchasedKg</t>
        </is>
      </c>
      <c r="E1" s="11" t="inlineStr">
        <is>
          <t>UsedKg</t>
        </is>
      </c>
      <c r="F1" s="11" t="inlineStr">
        <is>
          <t>BalanceKg</t>
        </is>
      </c>
      <c r="G1" s="11" t="inlineStr">
        <is>
          <t>MinStockKg</t>
        </is>
      </c>
      <c r="H1" s="11" t="inlineStr">
        <is>
          <t>Alert</t>
        </is>
      </c>
    </row>
    <row r="2">
      <c r="A2" s="2">
        <f>IFERROR(INDEX(mst_FeedTypes[FeedID],ROW()-1),"")</f>
        <v/>
      </c>
      <c r="B2" s="2">
        <f>IF($A2="","",INDEX(mst_FeedTypes[FeedName],MATCH($A2,mst_FeedTypes[FeedID],0)))</f>
        <v/>
      </c>
      <c r="C2" s="7">
        <f>IF($A2="","",0)</f>
        <v/>
      </c>
      <c r="D2" s="7">
        <f>IF($A2="","",SUMIFS(reg_FeedPurchases[TotalWeightKg],reg_FeedPurchases[FeedID],$A2))</f>
        <v/>
      </c>
      <c r="E2" s="7">
        <f>IF($A2="","",SUMIFS(reg_FeedConsumption[KgUsed],reg_FeedConsumption[FeedID],$A2))</f>
        <v/>
      </c>
      <c r="F2" s="7">
        <f>IF($A2="","",$C2+$D2-$E2)</f>
        <v/>
      </c>
      <c r="G2" s="7">
        <f>IF($A2="","",INDEX(mst_FeedTypes[MinStockKg],MATCH($A2,mst_FeedTypes[FeedID],0)))</f>
        <v/>
      </c>
      <c r="H2" s="2">
        <f>IF($A2="","",IF($F2&lt;$G2,"LOW STOCK","OK"))</f>
        <v/>
      </c>
    </row>
    <row r="3">
      <c r="A3" s="2">
        <f>IFERROR(INDEX(mst_FeedTypes[FeedID],ROW()-1),"")</f>
        <v/>
      </c>
      <c r="B3" s="2">
        <f>IF($A3="","",INDEX(mst_FeedTypes[FeedName],MATCH($A3,mst_FeedTypes[FeedID],0)))</f>
        <v/>
      </c>
      <c r="C3" s="7">
        <f>IF($A3="","",0)</f>
        <v/>
      </c>
      <c r="D3" s="7">
        <f>IF($A3="","",SUMIFS(reg_FeedPurchases[TotalWeightKg],reg_FeedPurchases[FeedID],$A3))</f>
        <v/>
      </c>
      <c r="E3" s="7">
        <f>IF($A3="","",SUMIFS(reg_FeedConsumption[KgUsed],reg_FeedConsumption[FeedID],$A3))</f>
        <v/>
      </c>
      <c r="F3" s="7">
        <f>IF($A3="","",$C3+$D3-$E3)</f>
        <v/>
      </c>
      <c r="G3" s="7">
        <f>IF($A3="","",INDEX(mst_FeedTypes[MinStockKg],MATCH($A3,mst_FeedTypes[FeedID],0)))</f>
        <v/>
      </c>
      <c r="H3" s="2">
        <f>IF($A3="","",IF($F3&lt;$G3,"LOW STOCK","OK"))</f>
        <v/>
      </c>
    </row>
    <row r="4">
      <c r="A4" s="2">
        <f>IFERROR(INDEX(mst_FeedTypes[FeedID],ROW()-1),"")</f>
        <v/>
      </c>
      <c r="B4" s="2">
        <f>IF($A4="","",INDEX(mst_FeedTypes[FeedName],MATCH($A4,mst_FeedTypes[FeedID],0)))</f>
        <v/>
      </c>
      <c r="C4" s="7">
        <f>IF($A4="","",0)</f>
        <v/>
      </c>
      <c r="D4" s="7">
        <f>IF($A4="","",SUMIFS(reg_FeedPurchases[TotalWeightKg],reg_FeedPurchases[FeedID],$A4))</f>
        <v/>
      </c>
      <c r="E4" s="7">
        <f>IF($A4="","",SUMIFS(reg_FeedConsumption[KgUsed],reg_FeedConsumption[FeedID],$A4))</f>
        <v/>
      </c>
      <c r="F4" s="7">
        <f>IF($A4="","",$C4+$D4-$E4)</f>
        <v/>
      </c>
      <c r="G4" s="7">
        <f>IF($A4="","",INDEX(mst_FeedTypes[MinStockKg],MATCH($A4,mst_FeedTypes[FeedID],0)))</f>
        <v/>
      </c>
      <c r="H4" s="2">
        <f>IF($A4="","",IF($F4&lt;$G4,"LOW STOCK","OK"))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tabColor rgb="00548235"/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0" customWidth="1" min="2" max="2"/>
    <col width="12" customWidth="1" min="3" max="3"/>
    <col width="12" customWidth="1" min="4" max="4"/>
    <col width="14" customWidth="1" min="5" max="5"/>
    <col width="14" customWidth="1" min="6" max="6"/>
    <col width="16" customWidth="1" min="7" max="7"/>
    <col width="14" customWidth="1" min="8" max="8"/>
    <col width="12" customWidth="1" min="9" max="9"/>
    <col width="14" customWidth="1" min="10" max="10"/>
    <col width="14" customWidth="1" min="11" max="11"/>
    <col width="16" customWidth="1" min="12" max="12"/>
    <col width="14" customWidth="1" min="13" max="13"/>
    <col width="10" customWidth="1" min="14" max="14"/>
  </cols>
  <sheetData>
    <row r="1">
      <c r="A1" s="5" t="inlineStr">
        <is>
          <t>EntryID</t>
        </is>
      </c>
      <c r="B1" s="5" t="inlineStr">
        <is>
          <t>FlockID</t>
        </is>
      </c>
      <c r="C1" s="5" t="inlineStr">
        <is>
          <t>ProductID</t>
        </is>
      </c>
      <c r="D1" s="5" t="inlineStr">
        <is>
          <t>SupplierID</t>
        </is>
      </c>
      <c r="E1" s="5" t="inlineStr">
        <is>
          <t>LotNumber</t>
        </is>
      </c>
      <c r="F1" s="5" t="inlineStr">
        <is>
          <t>ExpiryDate</t>
        </is>
      </c>
      <c r="G1" s="5" t="inlineStr">
        <is>
          <t>QuantityReceived</t>
        </is>
      </c>
      <c r="H1" s="5" t="inlineStr">
        <is>
          <t>QuantityUsed</t>
        </is>
      </c>
      <c r="I1" s="5" t="inlineStr">
        <is>
          <t>Balance</t>
        </is>
      </c>
      <c r="J1" s="5" t="inlineStr">
        <is>
          <t>UnitCost_ZMW</t>
        </is>
      </c>
      <c r="K1" s="5" t="inlineStr">
        <is>
          <t>TotalCost_ZMW</t>
        </is>
      </c>
      <c r="L1" s="5" t="inlineStr">
        <is>
          <t>Status</t>
        </is>
      </c>
      <c r="M1" s="5" t="inlineStr">
        <is>
          <t>EnteredBy</t>
        </is>
      </c>
      <c r="N1" s="5" t="inlineStr">
        <is>
          <t>IsActive</t>
        </is>
      </c>
    </row>
    <row r="2">
      <c r="A2" s="2" t="inlineStr">
        <is>
          <t>MED-0001</t>
        </is>
      </c>
      <c r="B2" s="2" t="inlineStr">
        <is>
          <t>FLK-001</t>
        </is>
      </c>
      <c r="C2" s="2" t="n">
        <v>1</v>
      </c>
      <c r="D2" s="2" t="n">
        <v>3</v>
      </c>
      <c r="E2" s="2" t="inlineStr">
        <is>
          <t>MRK-2612</t>
        </is>
      </c>
      <c r="F2" s="6" t="n">
        <v>46447</v>
      </c>
      <c r="G2" s="7" t="n">
        <v>600</v>
      </c>
      <c r="H2" s="7" t="n">
        <v>600</v>
      </c>
      <c r="I2" s="7">
        <f>$G2-$H2</f>
        <v/>
      </c>
      <c r="J2" s="3" t="n">
        <v>0</v>
      </c>
      <c r="K2" s="3">
        <f>ROUND($G2*$J2,2)</f>
        <v/>
      </c>
      <c r="L2" s="2">
        <f>IF(TODAY()&gt;$F2,"EXPIRED",IF($F2-TODAY()&lt;=INDEX(mst_Settings[Value],MATCH("MedicineExpiryWarningDays",mst_Settings[Parameter],0)),"EXPIRING SOON","OK"))</f>
        <v/>
      </c>
      <c r="M2" s="2" t="inlineStr">
        <is>
          <t>A. Mwansa</t>
        </is>
      </c>
      <c r="N2" s="2" t="inlineStr">
        <is>
          <t>Yes</t>
        </is>
      </c>
    </row>
    <row r="3">
      <c r="A3" s="2" t="inlineStr">
        <is>
          <t>MED-0002</t>
        </is>
      </c>
      <c r="B3" s="2" t="inlineStr">
        <is>
          <t>FLK-001</t>
        </is>
      </c>
      <c r="C3" s="2" t="n">
        <v>2</v>
      </c>
      <c r="D3" s="2" t="n">
        <v>3</v>
      </c>
      <c r="E3" s="2" t="inlineStr">
        <is>
          <t>NCD-2614</t>
        </is>
      </c>
      <c r="F3" s="6" t="n">
        <v>46407</v>
      </c>
      <c r="G3" s="7" t="n">
        <v>500</v>
      </c>
      <c r="H3" s="7" t="n">
        <v>500</v>
      </c>
      <c r="I3" s="7">
        <f>$G3-$H3</f>
        <v/>
      </c>
      <c r="J3" s="3" t="n">
        <v>1.2</v>
      </c>
      <c r="K3" s="3">
        <f>ROUND($G3*$J3,2)</f>
        <v/>
      </c>
      <c r="L3" s="2">
        <f>IF(TODAY()&gt;$F3,"EXPIRED",IF($F3-TODAY()&lt;=INDEX(mst_Settings[Value],MATCH("MedicineExpiryWarningDays",mst_Settings[Parameter],0)),"EXPIRING SOON","OK"))</f>
        <v/>
      </c>
      <c r="M3" s="2" t="inlineStr">
        <is>
          <t>A. Mwansa</t>
        </is>
      </c>
      <c r="N3" s="2" t="inlineStr">
        <is>
          <t>Yes</t>
        </is>
      </c>
    </row>
    <row r="4">
      <c r="A4" s="2" t="inlineStr">
        <is>
          <t>MED-0003</t>
        </is>
      </c>
      <c r="B4" s="2" t="inlineStr">
        <is>
          <t>FLK-002</t>
        </is>
      </c>
      <c r="C4" s="2" t="n">
        <v>3</v>
      </c>
      <c r="D4" s="2" t="n">
        <v>3</v>
      </c>
      <c r="E4" s="2" t="inlineStr">
        <is>
          <t>AMX-0091</t>
        </is>
      </c>
      <c r="F4" s="6" t="n">
        <v>46371</v>
      </c>
      <c r="G4" s="7" t="n">
        <v>1000</v>
      </c>
      <c r="H4" s="7" t="n">
        <v>350</v>
      </c>
      <c r="I4" s="7">
        <f>$G4-$H4</f>
        <v/>
      </c>
      <c r="J4" s="3" t="n">
        <v>0.85</v>
      </c>
      <c r="K4" s="3">
        <f>ROUND($G4*$J4,2)</f>
        <v/>
      </c>
      <c r="L4" s="2">
        <f>IF(TODAY()&gt;$F4,"EXPIRED",IF($F4-TODAY()&lt;=INDEX(mst_Settings[Value],MATCH("MedicineExpiryWarningDays",mst_Settings[Parameter],0)),"EXPIRING SOON","OK"))</f>
        <v/>
      </c>
      <c r="M4" s="2" t="inlineStr">
        <is>
          <t>B. Tembo</t>
        </is>
      </c>
      <c r="N4" s="2" t="inlineStr">
        <is>
          <t>Yes</t>
        </is>
      </c>
    </row>
    <row r="5">
      <c r="A5" s="2" t="inlineStr">
        <is>
          <t>MED-0004</t>
        </is>
      </c>
      <c r="B5" s="2" t="inlineStr">
        <is>
          <t>FLK-002</t>
        </is>
      </c>
      <c r="C5" s="2" t="n">
        <v>1</v>
      </c>
      <c r="D5" s="2" t="n">
        <v>3</v>
      </c>
      <c r="E5" s="2" t="inlineStr">
        <is>
          <t>MRK-2701</t>
        </is>
      </c>
      <c r="F5" s="6" t="n">
        <v>46548</v>
      </c>
      <c r="G5" s="7" t="n">
        <v>600</v>
      </c>
      <c r="H5" s="7" t="n">
        <v>0</v>
      </c>
      <c r="I5" s="7">
        <f>$G5-$H5</f>
        <v/>
      </c>
      <c r="J5" s="3" t="n">
        <v>0</v>
      </c>
      <c r="K5" s="3">
        <f>ROUND($G5*$J5,2)</f>
        <v/>
      </c>
      <c r="L5" s="2">
        <f>IF(TODAY()&gt;$F5,"EXPIRED",IF($F5-TODAY()&lt;=INDEX(mst_Settings[Value],MATCH("MedicineExpiryWarningDays",mst_Settings[Parameter],0)),"EXPIRING SOON","OK"))</f>
        <v/>
      </c>
      <c r="M5" s="2" t="inlineStr">
        <is>
          <t>A. Mwansa</t>
        </is>
      </c>
      <c r="N5" s="2" t="inlineStr">
        <is>
          <t>Yes</t>
        </is>
      </c>
    </row>
    <row r="6">
      <c r="A6" s="2" t="inlineStr">
        <is>
          <t>MED-0005</t>
        </is>
      </c>
      <c r="B6" s="2" t="inlineStr">
        <is>
          <t>FLK-003</t>
        </is>
      </c>
      <c r="C6" s="2" t="n">
        <v>1</v>
      </c>
      <c r="D6" s="2" t="n">
        <v>3</v>
      </c>
      <c r="E6" s="2" t="inlineStr">
        <is>
          <t>MRK-2733</t>
        </is>
      </c>
      <c r="F6" s="6" t="n">
        <v>46588</v>
      </c>
      <c r="G6" s="7" t="n">
        <v>500</v>
      </c>
      <c r="H6" s="7" t="n">
        <v>500</v>
      </c>
      <c r="I6" s="7">
        <f>$G6-$H6</f>
        <v/>
      </c>
      <c r="J6" s="3" t="n">
        <v>0</v>
      </c>
      <c r="K6" s="3">
        <f>ROUND($G6*$J6,2)</f>
        <v/>
      </c>
      <c r="L6" s="2">
        <f>IF(TODAY()&gt;$F6,"EXPIRED",IF($F6-TODAY()&lt;=INDEX(mst_Settings[Value],MATCH("MedicineExpiryWarningDays",mst_Settings[Parameter],0)),"EXPIRING SOON","OK"))</f>
        <v/>
      </c>
      <c r="M6" s="2" t="inlineStr">
        <is>
          <t>A. Mwansa</t>
        </is>
      </c>
      <c r="N6" s="2" t="inlineStr">
        <is>
          <t>Yes</t>
        </is>
      </c>
    </row>
    <row r="7">
      <c r="A7" s="2" t="inlineStr">
        <is>
          <t>MED-0006</t>
        </is>
      </c>
      <c r="B7" s="2" t="inlineStr">
        <is>
          <t>FLK-004</t>
        </is>
      </c>
      <c r="C7" s="2" t="n">
        <v>1</v>
      </c>
      <c r="D7" s="2" t="n">
        <v>3</v>
      </c>
      <c r="E7" s="2" t="inlineStr">
        <is>
          <t>MRK-2801</t>
        </is>
      </c>
      <c r="F7" s="6" t="n">
        <v>46614</v>
      </c>
      <c r="G7" s="7" t="n">
        <v>600</v>
      </c>
      <c r="H7" s="7" t="n">
        <v>600</v>
      </c>
      <c r="I7" s="7">
        <f>$G7-$H7</f>
        <v/>
      </c>
      <c r="J7" s="3" t="n">
        <v>0</v>
      </c>
      <c r="K7" s="3">
        <f>ROUND($G7*$J7,2)</f>
        <v/>
      </c>
      <c r="L7" s="2">
        <f>IF(TODAY()&gt;$F7,"EXPIRED",IF($F7-TODAY()&lt;=INDEX(mst_Settings[Value],MATCH("MedicineExpiryWarningDays",mst_Settings[Parameter],0)),"EXPIRING SOON","OK"))</f>
        <v/>
      </c>
      <c r="M7" s="2" t="inlineStr">
        <is>
          <t>A. Mwansa</t>
        </is>
      </c>
      <c r="N7" s="2" t="inlineStr">
        <is>
          <t>Yes</t>
        </is>
      </c>
    </row>
  </sheetData>
  <dataValidations count="3">
    <dataValidation sqref="B2:B57" showDropDown="0" showInputMessage="0" showErrorMessage="0" allowBlank="0" type="list">
      <formula1>=FlockID_List</formula1>
    </dataValidation>
    <dataValidation sqref="C2:C57" showDropDown="0" showInputMessage="0" showErrorMessage="0" allowBlank="0" type="list">
      <formula1>=ProductID_List</formula1>
    </dataValidation>
    <dataValidation sqref="D2:D57" showDropDown="0" showInputMessage="0" showErrorMessage="0" allowBlank="0" type="list">
      <formula1>=SupplierID_List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2026-08-10T06:53:42Z</dcterms:created>
  <dcterms:modified xmlns:dcterms="http://purl.org/dc/terms/" xmlns:xsi="http://www.w3.org/2001/XMLSchema-instance" xsi:type="dcterms:W3CDTF">2026-08-10T06:53:42Z</dcterms:modified>
</cp:coreProperties>
</file>