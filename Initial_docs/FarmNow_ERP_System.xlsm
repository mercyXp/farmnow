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ocuments\farm file\ERP system\"/>
    </mc:Choice>
  </mc:AlternateContent>
  <xr:revisionPtr revIDLastSave="0" documentId="13_ncr:20001_{DB7FBDFE-305C-4302-9CF0-0BA4CA886E5D}" xr6:coauthVersionLast="47" xr6:coauthVersionMax="47" xr10:uidLastSave="{00000000-0000-0000-0000-000000000000}"/>
  <bookViews>
    <workbookView xWindow="-108" yWindow="-108" windowWidth="23256" windowHeight="12456" firstSheet="7" activeTab="12" xr2:uid="{00000000-000D-0000-FFFF-FFFF00000000}"/>
  </bookViews>
  <sheets>
    <sheet name="Dashboard" sheetId="1" r:id="rId1"/>
    <sheet name="Menu_Nav" sheetId="2" r:id="rId2"/>
    <sheet name="mst_Houses" sheetId="3" r:id="rId3"/>
    <sheet name="mst_Breeds" sheetId="4" r:id="rId4"/>
    <sheet name="mst_FeedTypes" sheetId="5" r:id="rId5"/>
    <sheet name="mst_Suppliers" sheetId="6" r:id="rId6"/>
    <sheet name="mst_Customers" sheetId="7" r:id="rId7"/>
    <sheet name="mst_Vaccines_Meds" sheetId="8" r:id="rId8"/>
    <sheet name="mst_Users" sheetId="9" r:id="rId9"/>
    <sheet name="mst_Settings" sheetId="10" r:id="rId10"/>
    <sheet name="mst_Lists" sheetId="11" r:id="rId11"/>
    <sheet name="reg_Flocks" sheetId="12" r:id="rId12"/>
    <sheet name="reg_DailyMortality" sheetId="13" r:id="rId13"/>
    <sheet name="reg_FeedConsumption" sheetId="14" r:id="rId14"/>
    <sheet name="reg_WeeklyWeights" sheetId="15" r:id="rId15"/>
    <sheet name="reg_Vaccination_Health" sheetId="16" r:id="rId16"/>
    <sheet name="reg_Sales_Dispatch" sheetId="17" r:id="rId17"/>
    <sheet name="reg_Expenses" sheetId="18" r:id="rId18"/>
    <sheet name="reg_EnvironmentReadings" sheetId="19" r:id="rId19"/>
    <sheet name="reg_OtherIncome" sheetId="20" r:id="rId20"/>
    <sheet name="calc_KPI_Engine" sheetId="21" r:id="rId21"/>
    <sheet name="Log_Audit" sheetId="22" state="veryHidden" r:id="rId22"/>
    <sheet name="rpt_FlockPerformance" sheetId="23" r:id="rId23"/>
    <sheet name="rpt_FinancialSummary" sheetId="24" r:id="rId24"/>
    <sheet name="rpt_MortalityTrend" sheetId="25" r:id="rId25"/>
    <sheet name="mst_Employees" sheetId="26" r:id="rId26"/>
    <sheet name="reg_DailyRoutine" sheetId="27" r:id="rId27"/>
    <sheet name="reg_FeedPurchases" sheetId="28" r:id="rId28"/>
    <sheet name="calc_FeedStockSummary" sheetId="29" r:id="rId29"/>
    <sheet name="reg_MedicineStock" sheetId="30" r:id="rId30"/>
  </sheets>
  <definedNames>
    <definedName name="BreedID_List">mst_Breeds!$A$2:$A$23</definedName>
    <definedName name="CustomerID_List">mst_Customers!$A$2:$A$23</definedName>
    <definedName name="EmployeeID_List">mst_Employees!$A$2:$A$24</definedName>
    <definedName name="FeedID_List">mst_FeedTypes!$A$2:$A$23</definedName>
    <definedName name="FlockID_List">'reg_Flocks'!$A$2:$A$24</definedName>
    <definedName name="HouseID_List">mst_Houses!$A$2:$A$24</definedName>
    <definedName name="List_ExpenseCategory">mst_Lists!$D$2:$D$15</definedName>
    <definedName name="List_LitterCondition">mst_Lists!$B$2:$B$15</definedName>
    <definedName name="List_MortalityCause">mst_Lists!$F$2:$F$15</definedName>
    <definedName name="List_PaymentMethod">mst_Lists!$A$2:$A$15</definedName>
    <definedName name="List_VaccinationRoute">mst_Lists!$G$2:$G$15</definedName>
    <definedName name="List_Ventilation">mst_Lists!$C$2:$C$15</definedName>
    <definedName name="List_YesNo">mst_Lists!$E$2:$E$15</definedName>
    <definedName name="_xlnm.Print_Area" localSheetId="23">rpt_FinancialSummary!$A$1:$H$11</definedName>
    <definedName name="_xlnm.Print_Area" localSheetId="22">rpt_FlockPerformance!$A$1:$F$31</definedName>
    <definedName name="_xlnm.Print_Area" localSheetId="24">rpt_MortalityTrend!$A$1:$D$31</definedName>
    <definedName name="ProductID_List">mst_Vaccines_Meds!$A$2:$A$24</definedName>
    <definedName name="SupplierID_List">mst_Suppliers!$A$2:$A$24</definedName>
    <definedName name="UserName_List">mst_Users!$B$2:$B$23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7" i="30" l="1"/>
  <c r="K7" i="30"/>
  <c r="I7" i="30"/>
  <c r="L6" i="30"/>
  <c r="K6" i="30"/>
  <c r="I6" i="30"/>
  <c r="L5" i="30"/>
  <c r="K5" i="30"/>
  <c r="I5" i="30"/>
  <c r="L4" i="30"/>
  <c r="B49" i="1" s="1"/>
  <c r="K4" i="30"/>
  <c r="I4" i="30"/>
  <c r="L3" i="30"/>
  <c r="B48" i="1" s="1"/>
  <c r="K3" i="30"/>
  <c r="I3" i="30"/>
  <c r="L2" i="30"/>
  <c r="B47" i="1" s="1"/>
  <c r="K2" i="30"/>
  <c r="I2" i="30"/>
  <c r="A4" i="29"/>
  <c r="A3" i="29"/>
  <c r="A2" i="29"/>
  <c r="I7" i="28"/>
  <c r="H7" i="28"/>
  <c r="I6" i="28"/>
  <c r="H6" i="28"/>
  <c r="I5" i="28"/>
  <c r="H5" i="28"/>
  <c r="I4" i="28"/>
  <c r="H4" i="28"/>
  <c r="I3" i="28"/>
  <c r="H3" i="28"/>
  <c r="I2" i="28"/>
  <c r="H2" i="28"/>
  <c r="D20" i="25"/>
  <c r="D19" i="25"/>
  <c r="C19" i="25"/>
  <c r="C18" i="25"/>
  <c r="B18" i="25"/>
  <c r="B17" i="25"/>
  <c r="D16" i="25"/>
  <c r="D15" i="25"/>
  <c r="C15" i="25"/>
  <c r="C14" i="25"/>
  <c r="B14" i="25"/>
  <c r="B13" i="25"/>
  <c r="B8" i="25"/>
  <c r="B20" i="25" s="1"/>
  <c r="A4" i="25"/>
  <c r="A4" i="24"/>
  <c r="B30" i="23"/>
  <c r="A4" i="23"/>
  <c r="U31" i="21"/>
  <c r="T31" i="21"/>
  <c r="M31" i="21"/>
  <c r="L31" i="21"/>
  <c r="E31" i="21"/>
  <c r="D31" i="21"/>
  <c r="A31" i="21"/>
  <c r="X31" i="21" s="1"/>
  <c r="U30" i="21"/>
  <c r="T30" i="21"/>
  <c r="M30" i="21"/>
  <c r="L30" i="21"/>
  <c r="E30" i="21"/>
  <c r="D30" i="21"/>
  <c r="A30" i="21"/>
  <c r="X30" i="21" s="1"/>
  <c r="U29" i="21"/>
  <c r="T29" i="21"/>
  <c r="M29" i="21"/>
  <c r="L29" i="21"/>
  <c r="E29" i="21"/>
  <c r="D29" i="21"/>
  <c r="A29" i="21"/>
  <c r="X29" i="21" s="1"/>
  <c r="U28" i="21"/>
  <c r="T28" i="21"/>
  <c r="M28" i="21"/>
  <c r="L28" i="21"/>
  <c r="E28" i="21"/>
  <c r="D28" i="21"/>
  <c r="A28" i="21"/>
  <c r="X28" i="21" s="1"/>
  <c r="U27" i="21"/>
  <c r="T27" i="21"/>
  <c r="M27" i="21"/>
  <c r="L27" i="21"/>
  <c r="E27" i="21"/>
  <c r="D27" i="21"/>
  <c r="A27" i="21"/>
  <c r="X27" i="21" s="1"/>
  <c r="U26" i="21"/>
  <c r="T26" i="21"/>
  <c r="M26" i="21"/>
  <c r="L26" i="21"/>
  <c r="E26" i="21"/>
  <c r="D26" i="21"/>
  <c r="A26" i="21"/>
  <c r="X26" i="21" s="1"/>
  <c r="W25" i="21"/>
  <c r="Q25" i="21"/>
  <c r="K25" i="21"/>
  <c r="I25" i="21"/>
  <c r="D25" i="21"/>
  <c r="A25" i="21"/>
  <c r="T24" i="21"/>
  <c r="S24" i="21"/>
  <c r="M24" i="21"/>
  <c r="L24" i="21"/>
  <c r="G24" i="21"/>
  <c r="D24" i="21"/>
  <c r="A24" i="21"/>
  <c r="U23" i="21"/>
  <c r="Q23" i="21"/>
  <c r="P23" i="21"/>
  <c r="J23" i="21"/>
  <c r="F23" i="21"/>
  <c r="E23" i="21"/>
  <c r="A23" i="21"/>
  <c r="X22" i="21"/>
  <c r="U22" i="21"/>
  <c r="T22" i="21"/>
  <c r="R22" i="21"/>
  <c r="P22" i="21"/>
  <c r="N22" i="21"/>
  <c r="M22" i="21"/>
  <c r="J22" i="21"/>
  <c r="I22" i="21"/>
  <c r="H22" i="21"/>
  <c r="E22" i="21"/>
  <c r="D22" i="21"/>
  <c r="B22" i="21"/>
  <c r="A22" i="21"/>
  <c r="A21" i="21"/>
  <c r="Q21" i="21" s="1"/>
  <c r="X20" i="21"/>
  <c r="U20" i="21"/>
  <c r="T20" i="21"/>
  <c r="R20" i="21"/>
  <c r="P20" i="21"/>
  <c r="N20" i="21"/>
  <c r="M20" i="21"/>
  <c r="J20" i="21"/>
  <c r="I20" i="21"/>
  <c r="H20" i="21"/>
  <c r="E20" i="21"/>
  <c r="D20" i="21"/>
  <c r="B20" i="21"/>
  <c r="A20" i="21"/>
  <c r="U19" i="21"/>
  <c r="J19" i="21"/>
  <c r="A19" i="21"/>
  <c r="P19" i="21" s="1"/>
  <c r="X18" i="21"/>
  <c r="U18" i="21"/>
  <c r="T18" i="21"/>
  <c r="R18" i="21"/>
  <c r="P18" i="21"/>
  <c r="N18" i="21"/>
  <c r="M18" i="21"/>
  <c r="J18" i="21"/>
  <c r="I18" i="21"/>
  <c r="H18" i="21"/>
  <c r="E18" i="21"/>
  <c r="D18" i="21"/>
  <c r="B18" i="21"/>
  <c r="A18" i="21"/>
  <c r="U17" i="21"/>
  <c r="Q17" i="21"/>
  <c r="J17" i="21"/>
  <c r="F17" i="21"/>
  <c r="A17" i="21"/>
  <c r="X16" i="21"/>
  <c r="T16" i="21"/>
  <c r="R16" i="21"/>
  <c r="N16" i="21"/>
  <c r="M16" i="21"/>
  <c r="I16" i="21"/>
  <c r="H16" i="21"/>
  <c r="D16" i="21"/>
  <c r="C16" i="21"/>
  <c r="A16" i="21"/>
  <c r="X15" i="21"/>
  <c r="W15" i="21"/>
  <c r="T15" i="21"/>
  <c r="S15" i="21"/>
  <c r="P15" i="21"/>
  <c r="O15" i="21"/>
  <c r="L15" i="21"/>
  <c r="K15" i="21"/>
  <c r="H15" i="21"/>
  <c r="G15" i="21"/>
  <c r="D15" i="21"/>
  <c r="C15" i="21"/>
  <c r="A15" i="21"/>
  <c r="V15" i="21" s="1"/>
  <c r="X14" i="21"/>
  <c r="W14" i="21"/>
  <c r="T14" i="21"/>
  <c r="S14" i="21"/>
  <c r="P14" i="21"/>
  <c r="O14" i="21"/>
  <c r="L14" i="21"/>
  <c r="K14" i="21"/>
  <c r="H14" i="21"/>
  <c r="G14" i="21"/>
  <c r="D14" i="21"/>
  <c r="C14" i="21"/>
  <c r="A14" i="21"/>
  <c r="V14" i="21" s="1"/>
  <c r="X13" i="21"/>
  <c r="W13" i="21"/>
  <c r="T13" i="21"/>
  <c r="S13" i="21"/>
  <c r="P13" i="21"/>
  <c r="O13" i="21"/>
  <c r="L13" i="21"/>
  <c r="K13" i="21"/>
  <c r="H13" i="21"/>
  <c r="G13" i="21"/>
  <c r="D13" i="21"/>
  <c r="C13" i="21"/>
  <c r="A13" i="21"/>
  <c r="V13" i="21" s="1"/>
  <c r="X12" i="21"/>
  <c r="W12" i="21"/>
  <c r="T12" i="21"/>
  <c r="S12" i="21"/>
  <c r="P12" i="21"/>
  <c r="O12" i="21"/>
  <c r="L12" i="21"/>
  <c r="K12" i="21"/>
  <c r="H12" i="21"/>
  <c r="G12" i="21"/>
  <c r="D12" i="21"/>
  <c r="C12" i="21"/>
  <c r="A12" i="21"/>
  <c r="V12" i="21" s="1"/>
  <c r="X11" i="21"/>
  <c r="W11" i="21"/>
  <c r="T11" i="21"/>
  <c r="S11" i="21"/>
  <c r="P11" i="21"/>
  <c r="O11" i="21"/>
  <c r="L11" i="21"/>
  <c r="K11" i="21"/>
  <c r="H11" i="21"/>
  <c r="G11" i="21"/>
  <c r="D11" i="21"/>
  <c r="C11" i="21"/>
  <c r="A11" i="21"/>
  <c r="V11" i="21" s="1"/>
  <c r="X10" i="21"/>
  <c r="W10" i="21"/>
  <c r="T10" i="21"/>
  <c r="S10" i="21"/>
  <c r="P10" i="21"/>
  <c r="O10" i="21"/>
  <c r="L10" i="21"/>
  <c r="K10" i="21"/>
  <c r="H10" i="21"/>
  <c r="G10" i="21"/>
  <c r="D10" i="21"/>
  <c r="C10" i="21"/>
  <c r="A10" i="21"/>
  <c r="V10" i="21" s="1"/>
  <c r="X9" i="21"/>
  <c r="W9" i="21"/>
  <c r="T9" i="21"/>
  <c r="S9" i="21"/>
  <c r="P9" i="21"/>
  <c r="O9" i="21"/>
  <c r="L9" i="21"/>
  <c r="K9" i="21"/>
  <c r="H9" i="21"/>
  <c r="G9" i="21"/>
  <c r="D9" i="21"/>
  <c r="C9" i="21"/>
  <c r="A9" i="21"/>
  <c r="V9" i="21" s="1"/>
  <c r="X8" i="21"/>
  <c r="W8" i="21"/>
  <c r="T8" i="21"/>
  <c r="S8" i="21"/>
  <c r="P8" i="21"/>
  <c r="O8" i="21"/>
  <c r="L8" i="21"/>
  <c r="K8" i="21"/>
  <c r="H8" i="21"/>
  <c r="G8" i="21"/>
  <c r="D8" i="21"/>
  <c r="C8" i="21"/>
  <c r="A8" i="21"/>
  <c r="V8" i="21" s="1"/>
  <c r="X7" i="21"/>
  <c r="W7" i="21"/>
  <c r="T7" i="21"/>
  <c r="S7" i="21"/>
  <c r="P7" i="21"/>
  <c r="O7" i="21"/>
  <c r="L7" i="21"/>
  <c r="K7" i="21"/>
  <c r="H7" i="21"/>
  <c r="G7" i="21"/>
  <c r="D7" i="21"/>
  <c r="C7" i="21"/>
  <c r="A7" i="21"/>
  <c r="V7" i="21" s="1"/>
  <c r="W6" i="21"/>
  <c r="T6" i="21"/>
  <c r="O6" i="21"/>
  <c r="L6" i="21"/>
  <c r="G6" i="21"/>
  <c r="D6" i="21"/>
  <c r="A6" i="21"/>
  <c r="A5" i="21"/>
  <c r="T4" i="21"/>
  <c r="K4" i="21"/>
  <c r="E4" i="21"/>
  <c r="B9" i="24" s="1"/>
  <c r="D4" i="21"/>
  <c r="A4" i="21"/>
  <c r="A3" i="21"/>
  <c r="T3" i="21" s="1"/>
  <c r="T2" i="21"/>
  <c r="K2" i="21"/>
  <c r="E2" i="21"/>
  <c r="B7" i="24" s="1"/>
  <c r="D2" i="21"/>
  <c r="B11" i="23" s="1"/>
  <c r="A2" i="21"/>
  <c r="H16" i="18"/>
  <c r="H15" i="18"/>
  <c r="H14" i="18"/>
  <c r="H13" i="18"/>
  <c r="H12" i="18"/>
  <c r="H11" i="18"/>
  <c r="H10" i="18"/>
  <c r="H9" i="18"/>
  <c r="H8" i="18"/>
  <c r="H7" i="18"/>
  <c r="H6" i="18"/>
  <c r="H5" i="18"/>
  <c r="H4" i="18"/>
  <c r="H3" i="18"/>
  <c r="H2" i="18"/>
  <c r="J3" i="17"/>
  <c r="L3" i="17" s="1"/>
  <c r="L2" i="17"/>
  <c r="J2" i="17"/>
  <c r="I13" i="16"/>
  <c r="J13" i="16" s="1"/>
  <c r="J12" i="16"/>
  <c r="I12" i="16"/>
  <c r="I11" i="16"/>
  <c r="J11" i="16" s="1"/>
  <c r="J10" i="16"/>
  <c r="I10" i="16"/>
  <c r="I9" i="16"/>
  <c r="J9" i="16" s="1"/>
  <c r="J8" i="16"/>
  <c r="I8" i="16"/>
  <c r="I7" i="16"/>
  <c r="J7" i="16" s="1"/>
  <c r="J6" i="16"/>
  <c r="I6" i="16"/>
  <c r="I5" i="16"/>
  <c r="J5" i="16" s="1"/>
  <c r="J4" i="16"/>
  <c r="I4" i="16"/>
  <c r="I3" i="16"/>
  <c r="J3" i="16" s="1"/>
  <c r="J2" i="16"/>
  <c r="I2" i="16"/>
  <c r="G17" i="15"/>
  <c r="H17" i="15" s="1"/>
  <c r="H16" i="15"/>
  <c r="G16" i="15"/>
  <c r="G15" i="15"/>
  <c r="H15" i="15" s="1"/>
  <c r="H14" i="15"/>
  <c r="G14" i="15"/>
  <c r="G13" i="15"/>
  <c r="H13" i="15" s="1"/>
  <c r="H12" i="15"/>
  <c r="G12" i="15"/>
  <c r="G11" i="15"/>
  <c r="H11" i="15" s="1"/>
  <c r="H10" i="15"/>
  <c r="G10" i="15"/>
  <c r="G9" i="15"/>
  <c r="H9" i="15" s="1"/>
  <c r="H8" i="15"/>
  <c r="G8" i="15"/>
  <c r="G7" i="15"/>
  <c r="H7" i="15" s="1"/>
  <c r="H6" i="15"/>
  <c r="G6" i="15"/>
  <c r="G5" i="15"/>
  <c r="H5" i="15" s="1"/>
  <c r="H4" i="15"/>
  <c r="G4" i="15"/>
  <c r="G3" i="15"/>
  <c r="H3" i="15" s="1"/>
  <c r="H2" i="15"/>
  <c r="G2" i="15"/>
  <c r="G28" i="14"/>
  <c r="F28" i="14"/>
  <c r="G27" i="14"/>
  <c r="F27" i="14"/>
  <c r="G26" i="14"/>
  <c r="F26" i="14"/>
  <c r="G25" i="14"/>
  <c r="F25" i="14"/>
  <c r="G24" i="14"/>
  <c r="F24" i="14"/>
  <c r="G23" i="14"/>
  <c r="F23" i="14"/>
  <c r="G22" i="14"/>
  <c r="F22" i="14"/>
  <c r="G21" i="14"/>
  <c r="F21" i="14"/>
  <c r="G20" i="14"/>
  <c r="F20" i="14"/>
  <c r="G19" i="14"/>
  <c r="F19" i="14"/>
  <c r="G18" i="14"/>
  <c r="F18" i="14"/>
  <c r="G17" i="14"/>
  <c r="F17" i="14"/>
  <c r="G16" i="14"/>
  <c r="F16" i="14"/>
  <c r="G15" i="14"/>
  <c r="F15" i="14"/>
  <c r="G14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G3" i="14"/>
  <c r="F3" i="14"/>
  <c r="G2" i="14"/>
  <c r="F2" i="14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F3" i="13"/>
  <c r="F2" i="13"/>
  <c r="B50" i="1"/>
  <c r="A50" i="1"/>
  <c r="A49" i="1"/>
  <c r="A48" i="1"/>
  <c r="A47" i="1"/>
  <c r="A39" i="1"/>
  <c r="B37" i="1"/>
  <c r="A37" i="1"/>
  <c r="D13" i="1"/>
  <c r="A13" i="1"/>
  <c r="A11" i="1"/>
  <c r="G7" i="1"/>
  <c r="C7" i="1"/>
  <c r="A7" i="1"/>
  <c r="A3" i="1"/>
  <c r="B30" i="25" l="1"/>
  <c r="B29" i="25"/>
  <c r="B28" i="25"/>
  <c r="B27" i="25"/>
  <c r="B26" i="25"/>
  <c r="B25" i="25"/>
  <c r="A30" i="25"/>
  <c r="A29" i="25"/>
  <c r="A28" i="25"/>
  <c r="A27" i="25"/>
  <c r="A26" i="25"/>
  <c r="A25" i="25"/>
  <c r="D30" i="25"/>
  <c r="C30" i="25"/>
  <c r="C29" i="25"/>
  <c r="C28" i="25"/>
  <c r="C27" i="25"/>
  <c r="C26" i="25"/>
  <c r="C25" i="25"/>
  <c r="D26" i="25"/>
  <c r="D29" i="25"/>
  <c r="D25" i="25"/>
  <c r="D28" i="25"/>
  <c r="D27" i="25"/>
  <c r="L3" i="21"/>
  <c r="A10" i="24"/>
  <c r="R5" i="21"/>
  <c r="D10" i="24" s="1"/>
  <c r="B5" i="21"/>
  <c r="B14" i="1" s="1"/>
  <c r="L21" i="21"/>
  <c r="C3" i="21"/>
  <c r="C12" i="1" s="1"/>
  <c r="H3" i="21"/>
  <c r="M3" i="21"/>
  <c r="S3" i="21"/>
  <c r="G8" i="24" s="1"/>
  <c r="C5" i="21"/>
  <c r="C14" i="1" s="1"/>
  <c r="H5" i="21"/>
  <c r="S5" i="21"/>
  <c r="G10" i="24" s="1"/>
  <c r="L19" i="21"/>
  <c r="V19" i="21"/>
  <c r="P21" i="21"/>
  <c r="A38" i="1"/>
  <c r="B22" i="23"/>
  <c r="B18" i="23"/>
  <c r="B24" i="23"/>
  <c r="R2" i="21"/>
  <c r="D7" i="24" s="1"/>
  <c r="N2" i="21"/>
  <c r="F2" i="21"/>
  <c r="E11" i="1" s="1"/>
  <c r="B2" i="21"/>
  <c r="B11" i="1" s="1"/>
  <c r="G2" i="21"/>
  <c r="B14" i="23" s="1"/>
  <c r="L2" i="21"/>
  <c r="Q2" i="21"/>
  <c r="W2" i="21"/>
  <c r="D3" i="21"/>
  <c r="A9" i="24"/>
  <c r="R4" i="21"/>
  <c r="D9" i="24" s="1"/>
  <c r="N4" i="21"/>
  <c r="J4" i="21"/>
  <c r="F4" i="21"/>
  <c r="E13" i="1" s="1"/>
  <c r="B4" i="21"/>
  <c r="B13" i="1" s="1"/>
  <c r="G4" i="21"/>
  <c r="I4" i="21" s="1"/>
  <c r="L4" i="21"/>
  <c r="Q4" i="21"/>
  <c r="D5" i="21"/>
  <c r="F5" i="21" s="1"/>
  <c r="E14" i="1" s="1"/>
  <c r="I5" i="21"/>
  <c r="J5" i="21" s="1"/>
  <c r="F14" i="1" s="1"/>
  <c r="T5" i="21"/>
  <c r="V6" i="21"/>
  <c r="R6" i="21"/>
  <c r="N6" i="21"/>
  <c r="J6" i="21"/>
  <c r="F6" i="21"/>
  <c r="B6" i="21"/>
  <c r="U6" i="21"/>
  <c r="Q6" i="21"/>
  <c r="M6" i="21"/>
  <c r="I6" i="21"/>
  <c r="E6" i="21"/>
  <c r="H6" i="21"/>
  <c r="P6" i="21"/>
  <c r="X6" i="21"/>
  <c r="W17" i="21"/>
  <c r="S17" i="21"/>
  <c r="O17" i="21"/>
  <c r="K17" i="21"/>
  <c r="G17" i="21"/>
  <c r="C17" i="21"/>
  <c r="T17" i="21"/>
  <c r="N17" i="21"/>
  <c r="I17" i="21"/>
  <c r="D17" i="21"/>
  <c r="X17" i="21"/>
  <c r="R17" i="21"/>
  <c r="M17" i="21"/>
  <c r="H17" i="21"/>
  <c r="B17" i="21"/>
  <c r="L17" i="21"/>
  <c r="V17" i="21"/>
  <c r="E19" i="21"/>
  <c r="F21" i="21"/>
  <c r="B12" i="23"/>
  <c r="A8" i="24"/>
  <c r="R3" i="21"/>
  <c r="D8" i="24" s="1"/>
  <c r="N3" i="21"/>
  <c r="F3" i="21"/>
  <c r="E12" i="1" s="1"/>
  <c r="B3" i="21"/>
  <c r="B12" i="1" s="1"/>
  <c r="G3" i="21"/>
  <c r="I3" i="21" s="1"/>
  <c r="Q3" i="21"/>
  <c r="E8" i="24" s="1"/>
  <c r="G5" i="21"/>
  <c r="L5" i="21"/>
  <c r="Q5" i="21"/>
  <c r="E10" i="24" s="1"/>
  <c r="W21" i="21"/>
  <c r="S21" i="21"/>
  <c r="O21" i="21"/>
  <c r="K21" i="21"/>
  <c r="G21" i="21"/>
  <c r="C21" i="21"/>
  <c r="T21" i="21"/>
  <c r="N21" i="21"/>
  <c r="I21" i="21"/>
  <c r="D21" i="21"/>
  <c r="X21" i="21"/>
  <c r="R21" i="21"/>
  <c r="M21" i="21"/>
  <c r="H21" i="21"/>
  <c r="B21" i="21"/>
  <c r="V21" i="21"/>
  <c r="A14" i="1"/>
  <c r="M5" i="21"/>
  <c r="N5" i="21" s="1"/>
  <c r="P5" i="21" s="1"/>
  <c r="H14" i="1" s="1"/>
  <c r="W19" i="21"/>
  <c r="S19" i="21"/>
  <c r="O19" i="21"/>
  <c r="K19" i="21"/>
  <c r="G19" i="21"/>
  <c r="C19" i="21"/>
  <c r="T19" i="21"/>
  <c r="N19" i="21"/>
  <c r="I19" i="21"/>
  <c r="D19" i="21"/>
  <c r="X19" i="21"/>
  <c r="R19" i="21"/>
  <c r="M19" i="21"/>
  <c r="H19" i="21"/>
  <c r="B19" i="21"/>
  <c r="E21" i="21"/>
  <c r="A40" i="1"/>
  <c r="D11" i="1"/>
  <c r="A12" i="1"/>
  <c r="C2" i="21"/>
  <c r="C11" i="1" s="1"/>
  <c r="H2" i="21"/>
  <c r="B9" i="25" s="1"/>
  <c r="M2" i="21"/>
  <c r="S2" i="21"/>
  <c r="X2" i="21"/>
  <c r="J7" i="24" s="1"/>
  <c r="E3" i="21"/>
  <c r="G6" i="1" s="1"/>
  <c r="K3" i="21"/>
  <c r="C4" i="21"/>
  <c r="C13" i="1" s="1"/>
  <c r="H4" i="21"/>
  <c r="M4" i="21"/>
  <c r="S4" i="21"/>
  <c r="G9" i="24" s="1"/>
  <c r="X4" i="21"/>
  <c r="J9" i="24" s="1"/>
  <c r="E5" i="21"/>
  <c r="K5" i="21"/>
  <c r="O5" i="21" s="1"/>
  <c r="G14" i="1" s="1"/>
  <c r="U5" i="21"/>
  <c r="C6" i="21"/>
  <c r="K6" i="21"/>
  <c r="S6" i="21"/>
  <c r="E17" i="21"/>
  <c r="P17" i="21"/>
  <c r="F19" i="21"/>
  <c r="Q19" i="21"/>
  <c r="J21" i="21"/>
  <c r="U21" i="21"/>
  <c r="V23" i="21"/>
  <c r="X23" i="21"/>
  <c r="S23" i="21"/>
  <c r="O23" i="21"/>
  <c r="K23" i="21"/>
  <c r="G23" i="21"/>
  <c r="C23" i="21"/>
  <c r="T23" i="21"/>
  <c r="N23" i="21"/>
  <c r="I23" i="21"/>
  <c r="D23" i="21"/>
  <c r="R23" i="21"/>
  <c r="M23" i="21"/>
  <c r="H23" i="21"/>
  <c r="B23" i="21"/>
  <c r="L23" i="21"/>
  <c r="W23" i="21"/>
  <c r="V25" i="21"/>
  <c r="R25" i="21"/>
  <c r="N25" i="21"/>
  <c r="J25" i="21"/>
  <c r="F25" i="21"/>
  <c r="B25" i="21"/>
  <c r="X25" i="21"/>
  <c r="S25" i="21"/>
  <c r="M25" i="21"/>
  <c r="H25" i="21"/>
  <c r="C25" i="21"/>
  <c r="U25" i="21"/>
  <c r="O25" i="21"/>
  <c r="G25" i="21"/>
  <c r="T25" i="21"/>
  <c r="L25" i="21"/>
  <c r="E25" i="21"/>
  <c r="P25" i="21"/>
  <c r="A7" i="24"/>
  <c r="E7" i="21"/>
  <c r="I7" i="21"/>
  <c r="M7" i="21"/>
  <c r="Q7" i="21"/>
  <c r="U7" i="21"/>
  <c r="E8" i="21"/>
  <c r="I8" i="21"/>
  <c r="M8" i="21"/>
  <c r="Q8" i="21"/>
  <c r="U8" i="21"/>
  <c r="E9" i="21"/>
  <c r="I9" i="21"/>
  <c r="M9" i="21"/>
  <c r="Q9" i="21"/>
  <c r="U9" i="21"/>
  <c r="E10" i="21"/>
  <c r="I10" i="21"/>
  <c r="M10" i="21"/>
  <c r="Q10" i="21"/>
  <c r="U10" i="21"/>
  <c r="E11" i="21"/>
  <c r="I11" i="21"/>
  <c r="M11" i="21"/>
  <c r="Q11" i="21"/>
  <c r="U11" i="21"/>
  <c r="E12" i="21"/>
  <c r="I12" i="21"/>
  <c r="M12" i="21"/>
  <c r="Q12" i="21"/>
  <c r="U12" i="21"/>
  <c r="E13" i="21"/>
  <c r="I13" i="21"/>
  <c r="M13" i="21"/>
  <c r="Q13" i="21"/>
  <c r="U13" i="21"/>
  <c r="E14" i="21"/>
  <c r="I14" i="21"/>
  <c r="M14" i="21"/>
  <c r="Q14" i="21"/>
  <c r="U14" i="21"/>
  <c r="E15" i="21"/>
  <c r="I15" i="21"/>
  <c r="M15" i="21"/>
  <c r="Q15" i="21"/>
  <c r="U15" i="21"/>
  <c r="W16" i="21"/>
  <c r="S16" i="21"/>
  <c r="O16" i="21"/>
  <c r="K16" i="21"/>
  <c r="G16" i="21"/>
  <c r="E16" i="21"/>
  <c r="J16" i="21"/>
  <c r="P16" i="21"/>
  <c r="U16" i="21"/>
  <c r="V24" i="21"/>
  <c r="R24" i="21"/>
  <c r="N24" i="21"/>
  <c r="J24" i="21"/>
  <c r="F24" i="21"/>
  <c r="B24" i="21"/>
  <c r="U24" i="21"/>
  <c r="P24" i="21"/>
  <c r="K24" i="21"/>
  <c r="E24" i="21"/>
  <c r="H24" i="21"/>
  <c r="O24" i="21"/>
  <c r="W24" i="21"/>
  <c r="B7" i="21"/>
  <c r="F7" i="21"/>
  <c r="J7" i="21"/>
  <c r="N7" i="21"/>
  <c r="R7" i="21"/>
  <c r="B8" i="21"/>
  <c r="F8" i="21"/>
  <c r="J8" i="21"/>
  <c r="N8" i="21"/>
  <c r="R8" i="21"/>
  <c r="B9" i="21"/>
  <c r="F9" i="21"/>
  <c r="J9" i="21"/>
  <c r="N9" i="21"/>
  <c r="R9" i="21"/>
  <c r="B10" i="21"/>
  <c r="F10" i="21"/>
  <c r="J10" i="21"/>
  <c r="N10" i="21"/>
  <c r="R10" i="21"/>
  <c r="B11" i="21"/>
  <c r="F11" i="21"/>
  <c r="J11" i="21"/>
  <c r="N11" i="21"/>
  <c r="R11" i="21"/>
  <c r="B12" i="21"/>
  <c r="F12" i="21"/>
  <c r="J12" i="21"/>
  <c r="N12" i="21"/>
  <c r="R12" i="21"/>
  <c r="B13" i="21"/>
  <c r="F13" i="21"/>
  <c r="J13" i="21"/>
  <c r="N13" i="21"/>
  <c r="R13" i="21"/>
  <c r="B14" i="21"/>
  <c r="F14" i="21"/>
  <c r="J14" i="21"/>
  <c r="N14" i="21"/>
  <c r="R14" i="21"/>
  <c r="B15" i="21"/>
  <c r="F15" i="21"/>
  <c r="J15" i="21"/>
  <c r="N15" i="21"/>
  <c r="R15" i="21"/>
  <c r="B16" i="21"/>
  <c r="F16" i="21"/>
  <c r="L16" i="21"/>
  <c r="Q16" i="21"/>
  <c r="V16" i="21"/>
  <c r="W18" i="21"/>
  <c r="S18" i="21"/>
  <c r="O18" i="21"/>
  <c r="K18" i="21"/>
  <c r="G18" i="21"/>
  <c r="C18" i="21"/>
  <c r="F18" i="21"/>
  <c r="L18" i="21"/>
  <c r="Q18" i="21"/>
  <c r="V18" i="21"/>
  <c r="W20" i="21"/>
  <c r="S20" i="21"/>
  <c r="O20" i="21"/>
  <c r="K20" i="21"/>
  <c r="G20" i="21"/>
  <c r="C20" i="21"/>
  <c r="F20" i="21"/>
  <c r="L20" i="21"/>
  <c r="Q20" i="21"/>
  <c r="V20" i="21"/>
  <c r="W22" i="21"/>
  <c r="S22" i="21"/>
  <c r="O22" i="21"/>
  <c r="K22" i="21"/>
  <c r="G22" i="21"/>
  <c r="C22" i="21"/>
  <c r="F22" i="21"/>
  <c r="L22" i="21"/>
  <c r="Q22" i="21"/>
  <c r="V22" i="21"/>
  <c r="C24" i="21"/>
  <c r="I24" i="21"/>
  <c r="Q24" i="21"/>
  <c r="X24" i="21"/>
  <c r="H26" i="21"/>
  <c r="P26" i="21"/>
  <c r="H27" i="21"/>
  <c r="P27" i="21"/>
  <c r="H28" i="21"/>
  <c r="P28" i="21"/>
  <c r="H29" i="21"/>
  <c r="P29" i="21"/>
  <c r="H30" i="21"/>
  <c r="P30" i="21"/>
  <c r="H31" i="21"/>
  <c r="P31" i="21"/>
  <c r="V26" i="21"/>
  <c r="R26" i="21"/>
  <c r="N26" i="21"/>
  <c r="J26" i="21"/>
  <c r="F26" i="21"/>
  <c r="B26" i="21"/>
  <c r="W26" i="21"/>
  <c r="S26" i="21"/>
  <c r="O26" i="21"/>
  <c r="K26" i="21"/>
  <c r="G26" i="21"/>
  <c r="C26" i="21"/>
  <c r="I26" i="21"/>
  <c r="Q26" i="21"/>
  <c r="V27" i="21"/>
  <c r="R27" i="21"/>
  <c r="N27" i="21"/>
  <c r="J27" i="21"/>
  <c r="F27" i="21"/>
  <c r="B27" i="21"/>
  <c r="W27" i="21"/>
  <c r="S27" i="21"/>
  <c r="O27" i="21"/>
  <c r="K27" i="21"/>
  <c r="G27" i="21"/>
  <c r="C27" i="21"/>
  <c r="I27" i="21"/>
  <c r="Q27" i="21"/>
  <c r="V28" i="21"/>
  <c r="R28" i="21"/>
  <c r="N28" i="21"/>
  <c r="J28" i="21"/>
  <c r="F28" i="21"/>
  <c r="B28" i="21"/>
  <c r="W28" i="21"/>
  <c r="S28" i="21"/>
  <c r="O28" i="21"/>
  <c r="K28" i="21"/>
  <c r="G28" i="21"/>
  <c r="C28" i="21"/>
  <c r="I28" i="21"/>
  <c r="Q28" i="21"/>
  <c r="V29" i="21"/>
  <c r="R29" i="21"/>
  <c r="N29" i="21"/>
  <c r="J29" i="21"/>
  <c r="F29" i="21"/>
  <c r="B29" i="21"/>
  <c r="W29" i="21"/>
  <c r="S29" i="21"/>
  <c r="O29" i="21"/>
  <c r="K29" i="21"/>
  <c r="G29" i="21"/>
  <c r="C29" i="21"/>
  <c r="I29" i="21"/>
  <c r="Q29" i="21"/>
  <c r="V30" i="21"/>
  <c r="R30" i="21"/>
  <c r="N30" i="21"/>
  <c r="J30" i="21"/>
  <c r="F30" i="21"/>
  <c r="B30" i="21"/>
  <c r="W30" i="21"/>
  <c r="S30" i="21"/>
  <c r="O30" i="21"/>
  <c r="K30" i="21"/>
  <c r="G30" i="21"/>
  <c r="C30" i="21"/>
  <c r="I30" i="21"/>
  <c r="Q30" i="21"/>
  <c r="V31" i="21"/>
  <c r="R31" i="21"/>
  <c r="N31" i="21"/>
  <c r="J31" i="21"/>
  <c r="F31" i="21"/>
  <c r="B31" i="21"/>
  <c r="W31" i="21"/>
  <c r="S31" i="21"/>
  <c r="O31" i="21"/>
  <c r="K31" i="21"/>
  <c r="G31" i="21"/>
  <c r="C31" i="21"/>
  <c r="I31" i="21"/>
  <c r="Q31" i="21"/>
  <c r="D13" i="25"/>
  <c r="B15" i="25"/>
  <c r="C16" i="25"/>
  <c r="D17" i="25"/>
  <c r="B19" i="25"/>
  <c r="C20" i="25"/>
  <c r="C2" i="29"/>
  <c r="G2" i="29"/>
  <c r="C3" i="29"/>
  <c r="F3" i="29" s="1"/>
  <c r="H3" i="29" s="1"/>
  <c r="B45" i="1" s="1"/>
  <c r="G3" i="29"/>
  <c r="C4" i="29"/>
  <c r="F4" i="29" s="1"/>
  <c r="H4" i="29" s="1"/>
  <c r="B46" i="1" s="1"/>
  <c r="G4" i="29"/>
  <c r="D2" i="29"/>
  <c r="F2" i="29" s="1"/>
  <c r="H2" i="29" s="1"/>
  <c r="B44" i="1" s="1"/>
  <c r="D3" i="29"/>
  <c r="D4" i="29"/>
  <c r="E2" i="29"/>
  <c r="E3" i="29"/>
  <c r="E4" i="29"/>
  <c r="C13" i="25"/>
  <c r="D14" i="25"/>
  <c r="B16" i="25"/>
  <c r="C17" i="25"/>
  <c r="D18" i="25"/>
  <c r="B2" i="29"/>
  <c r="A44" i="1" s="1"/>
  <c r="B3" i="29"/>
  <c r="A45" i="1" s="1"/>
  <c r="B4" i="29"/>
  <c r="A46" i="1" s="1"/>
  <c r="P3" i="21" l="1"/>
  <c r="H12" i="1" s="1"/>
  <c r="P4" i="21"/>
  <c r="H13" i="1" s="1"/>
  <c r="B13" i="23"/>
  <c r="P2" i="21"/>
  <c r="H11" i="1" s="1"/>
  <c r="V5" i="21"/>
  <c r="J14" i="1" s="1"/>
  <c r="J3" i="21"/>
  <c r="F12" i="1" s="1"/>
  <c r="O3" i="21"/>
  <c r="G12" i="1" s="1"/>
  <c r="F9" i="24"/>
  <c r="C9" i="24"/>
  <c r="F13" i="1"/>
  <c r="B39" i="1"/>
  <c r="H7" i="24"/>
  <c r="K11" i="1"/>
  <c r="B19" i="23"/>
  <c r="B15" i="23"/>
  <c r="B29" i="23"/>
  <c r="U3" i="21"/>
  <c r="O4" i="21"/>
  <c r="G13" i="1" s="1"/>
  <c r="E7" i="24"/>
  <c r="E11" i="24" s="1"/>
  <c r="U2" i="21"/>
  <c r="D11" i="24"/>
  <c r="B23" i="23"/>
  <c r="B10" i="23"/>
  <c r="X3" i="21"/>
  <c r="J8" i="24" s="1"/>
  <c r="J11" i="24" s="1"/>
  <c r="G7" i="24"/>
  <c r="G11" i="24" s="1"/>
  <c r="B28" i="23"/>
  <c r="W5" i="21"/>
  <c r="W3" i="21"/>
  <c r="V3" i="21"/>
  <c r="J12" i="1" s="1"/>
  <c r="W4" i="21"/>
  <c r="F7" i="24"/>
  <c r="C7" i="24"/>
  <c r="B21" i="23"/>
  <c r="I10" i="24"/>
  <c r="I14" i="1"/>
  <c r="B8" i="24"/>
  <c r="D12" i="1"/>
  <c r="K6" i="1"/>
  <c r="E6" i="1"/>
  <c r="I6" i="1"/>
  <c r="C10" i="24"/>
  <c r="F10" i="24"/>
  <c r="A6" i="1"/>
  <c r="B27" i="23"/>
  <c r="B10" i="24"/>
  <c r="B40" i="1"/>
  <c r="D14" i="1"/>
  <c r="X5" i="21"/>
  <c r="J10" i="24" s="1"/>
  <c r="E9" i="24"/>
  <c r="U4" i="21"/>
  <c r="V4" i="21"/>
  <c r="J13" i="1" s="1"/>
  <c r="I2" i="21"/>
  <c r="B9" i="23"/>
  <c r="F8" i="24"/>
  <c r="C8" i="24"/>
  <c r="F11" i="24" l="1"/>
  <c r="H10" i="24"/>
  <c r="K14" i="1"/>
  <c r="C6" i="1"/>
  <c r="B38" i="1"/>
  <c r="H9" i="24"/>
  <c r="K13" i="1"/>
  <c r="O2" i="21"/>
  <c r="B16" i="23"/>
  <c r="J2" i="21"/>
  <c r="C11" i="24"/>
  <c r="H8" i="24"/>
  <c r="H11" i="24" s="1"/>
  <c r="K12" i="1"/>
  <c r="I7" i="24"/>
  <c r="I11" i="1"/>
  <c r="B25" i="23"/>
  <c r="I9" i="24"/>
  <c r="I13" i="1"/>
  <c r="V2" i="21"/>
  <c r="I8" i="24"/>
  <c r="I12" i="1"/>
  <c r="I11" i="24" l="1"/>
  <c r="F11" i="1"/>
  <c r="B10" i="25"/>
  <c r="B17" i="23"/>
  <c r="J11" i="1"/>
  <c r="B26" i="23"/>
  <c r="G11" i="1"/>
  <c r="B20" i="23"/>
</calcChain>
</file>

<file path=xl/sharedStrings.xml><?xml version="1.0" encoding="utf-8"?>
<sst xmlns="http://schemas.openxmlformats.org/spreadsheetml/2006/main" count="1629" uniqueCount="636">
  <si>
    <t>FarmNow Limited — Broiler Production Dashboard</t>
  </si>
  <si>
    <t>Livability % (Active Flocks)</t>
  </si>
  <si>
    <t>Avg FCR (Active Flocks)</t>
  </si>
  <si>
    <t>Avg Daily Gain (g/bird)</t>
  </si>
  <si>
    <t>Mortality % (Active Flocks)</t>
  </si>
  <si>
    <t>Avg Cost / Bird (ZMW)</t>
  </si>
  <si>
    <t>Avg Cost / Kg Live Wt (ZMW)</t>
  </si>
  <si>
    <t>Flock Performance Comparison</t>
  </si>
  <si>
    <t>Flock</t>
  </si>
  <si>
    <t>House</t>
  </si>
  <si>
    <t>Breed</t>
  </si>
  <si>
    <t>Status</t>
  </si>
  <si>
    <t>Days On Farm</t>
  </si>
  <si>
    <t>Livability %</t>
  </si>
  <si>
    <t>FCR</t>
  </si>
  <si>
    <t>ADG (g)</t>
  </si>
  <si>
    <t>Cost/Bird (ZMW)</t>
  </si>
  <si>
    <t>Cost/Kg (ZMW)</t>
  </si>
  <si>
    <t>Est. Profit (ZMW)</t>
  </si>
  <si>
    <t>Trend &amp; Comparison Charts</t>
  </si>
  <si>
    <t>Alerts</t>
  </si>
  <si>
    <t>Alert</t>
  </si>
  <si>
    <t>Inventory &amp; Compliance Alerts</t>
  </si>
  <si>
    <t>Item</t>
  </si>
  <si>
    <t>FarmNow Limited — System Navigation</t>
  </si>
  <si>
    <t>Go To</t>
  </si>
  <si>
    <t>Sheet</t>
  </si>
  <si>
    <t>Description</t>
  </si>
  <si>
    <t>Dashboard</t>
  </si>
  <si>
    <t>Live KPI overview, flock comparison, charts and alerts</t>
  </si>
  <si>
    <t>New Flock Setup</t>
  </si>
  <si>
    <t>reg_Flocks</t>
  </si>
  <si>
    <t>Register a new flock/batch (house, breed, placement date)</t>
  </si>
  <si>
    <t>Daily Mortality Entry</t>
  </si>
  <si>
    <t>reg_DailyMortality</t>
  </si>
  <si>
    <t>Log daily bird deaths per flock</t>
  </si>
  <si>
    <t>Feed Consumption Entry</t>
  </si>
  <si>
    <t>reg_FeedConsumption</t>
  </si>
  <si>
    <t>Log daily/weekly feed usage per flock</t>
  </si>
  <si>
    <t>Weekly Weight Sampling</t>
  </si>
  <si>
    <t>reg_WeeklyWeights</t>
  </si>
  <si>
    <t>Log sample bird weights per flock</t>
  </si>
  <si>
    <t>Vaccination &amp; Health Entry</t>
  </si>
  <si>
    <t>reg_Vaccination_Health</t>
  </si>
  <si>
    <t>Log vaccines/medication administered</t>
  </si>
  <si>
    <t>Sales &amp; Dispatch Entry</t>
  </si>
  <si>
    <t>reg_Sales_Dispatch</t>
  </si>
  <si>
    <t>Log bird sales and dispatch to customers</t>
  </si>
  <si>
    <t>Expense Entry</t>
  </si>
  <si>
    <t>reg_Expenses</t>
  </si>
  <si>
    <t>Log farm expenses by category</t>
  </si>
  <si>
    <t>Environment Readings</t>
  </si>
  <si>
    <t>reg_EnvironmentReadings</t>
  </si>
  <si>
    <t>Log house temperature/humidity/ammonia</t>
  </si>
  <si>
    <t>Flock Performance Report</t>
  </si>
  <si>
    <t>rpt_FlockPerformance</t>
  </si>
  <si>
    <t>Printable single-flock performance report</t>
  </si>
  <si>
    <t>Financial Summary Report</t>
  </si>
  <si>
    <t>rpt_FinancialSummary</t>
  </si>
  <si>
    <t>Printable P&amp;L summary across all flocks</t>
  </si>
  <si>
    <t>Mortality &amp; Health Report</t>
  </si>
  <si>
    <t>rpt_MortalityTrend</t>
  </si>
  <si>
    <t>Printable mortality/health summary per flock</t>
  </si>
  <si>
    <t>Master Data - Houses</t>
  </si>
  <si>
    <t>mst_Houses</t>
  </si>
  <si>
    <t>House codes, capacity, zone</t>
  </si>
  <si>
    <t>Master Data - Breeds</t>
  </si>
  <si>
    <t>mst_Breeds</t>
  </si>
  <si>
    <t>Breed standards (FCR, ADG targets)</t>
  </si>
  <si>
    <t>Master Data - Feed Types</t>
  </si>
  <si>
    <t>mst_FeedTypes</t>
  </si>
  <si>
    <t>Feed stages and unit costs</t>
  </si>
  <si>
    <t>Master Data - Suppliers</t>
  </si>
  <si>
    <t>mst_Suppliers</t>
  </si>
  <si>
    <t>Supplier directory</t>
  </si>
  <si>
    <t>Master Data - Customers</t>
  </si>
  <si>
    <t>mst_Customers</t>
  </si>
  <si>
    <t>Customer directory</t>
  </si>
  <si>
    <t>Master Data - Vaccines/Meds</t>
  </si>
  <si>
    <t>mst_Vaccines_Meds</t>
  </si>
  <si>
    <t>Vaccine/medication catalogue</t>
  </si>
  <si>
    <t>System Settings</t>
  </si>
  <si>
    <t>mst_Settings</t>
  </si>
  <si>
    <t>KPI targets and alert thresholds</t>
  </si>
  <si>
    <t>Note: this Menu_Nav also links directly to every sheet - click a link above to jump straight there.</t>
  </si>
  <si>
    <t>A VBA-driven entry-form layer (UserForms + macros) ships alongside this workbook - see the README and /VBA_Modules folder.</t>
  </si>
  <si>
    <t>Additional Registers</t>
  </si>
  <si>
    <t>Daily Routine Checklist</t>
  </si>
  <si>
    <t>reg_DailyRoutine</t>
  </si>
  <si>
    <t>Daily floor-walk: temp/humidity, water, feed, litter, ventilation</t>
  </si>
  <si>
    <t>Feed Purchases Entry</t>
  </si>
  <si>
    <t>reg_FeedPurchases</t>
  </si>
  <si>
    <t>Log feed purchases (supplier, bags, cost, invoice, payment)</t>
  </si>
  <si>
    <t>Feed Stock Summary</t>
  </si>
  <si>
    <t>calc_FeedStockSummary</t>
  </si>
  <si>
    <t>Live balance per feed type with low-stock alert</t>
  </si>
  <si>
    <t>Medicine Stock Entry</t>
  </si>
  <si>
    <t>reg_MedicineStock</t>
  </si>
  <si>
    <t>Log medicine/vaccine receipts, usage, and expiry status</t>
  </si>
  <si>
    <t>Other Income Entry</t>
  </si>
  <si>
    <t>reg_OtherIncome</t>
  </si>
  <si>
    <t>Log non-bird farm income (manure, empty bags, etc.)</t>
  </si>
  <si>
    <t>Master Data - Employees</t>
  </si>
  <si>
    <t>mst_Employees</t>
  </si>
  <si>
    <t>Farm staff directory</t>
  </si>
  <si>
    <t>Master Data - Dropdown Lists</t>
  </si>
  <si>
    <t>mst_Lists</t>
  </si>
  <si>
    <t>Centralised dropdown option lists used across the workbook</t>
  </si>
  <si>
    <t>HouseID</t>
  </si>
  <si>
    <t>HouseCode</t>
  </si>
  <si>
    <t>Capacity</t>
  </si>
  <si>
    <t>LocationZone</t>
  </si>
  <si>
    <t>H-01</t>
  </si>
  <si>
    <t>Zone A</t>
  </si>
  <si>
    <t>Active</t>
  </si>
  <si>
    <t>H-02</t>
  </si>
  <si>
    <t>H-03</t>
  </si>
  <si>
    <t>Zone B</t>
  </si>
  <si>
    <t>H-04</t>
  </si>
  <si>
    <t>Inactive</t>
  </si>
  <si>
    <t>BreedID</t>
  </si>
  <si>
    <t>BreedName</t>
  </si>
  <si>
    <t>StandardFCR</t>
  </si>
  <si>
    <t>StandardADG_g</t>
  </si>
  <si>
    <t>Ross 308</t>
  </si>
  <si>
    <t>Cobb 500</t>
  </si>
  <si>
    <t>Arbor Acres</t>
  </si>
  <si>
    <t>FeedID</t>
  </si>
  <si>
    <t>FeedName</t>
  </si>
  <si>
    <t>Stage</t>
  </si>
  <si>
    <t>UnitCostPerKg_ZMW</t>
  </si>
  <si>
    <t>StandardBagWeightKg</t>
  </si>
  <si>
    <t>MinStockKg</t>
  </si>
  <si>
    <t>Starter Mash</t>
  </si>
  <si>
    <t>Starter</t>
  </si>
  <si>
    <t>Grower Mash</t>
  </si>
  <si>
    <t>Grower</t>
  </si>
  <si>
    <t>Finisher Mash</t>
  </si>
  <si>
    <t>Finisher</t>
  </si>
  <si>
    <t>SupplierID</t>
  </si>
  <si>
    <t>SupplierName</t>
  </si>
  <si>
    <t>Contact</t>
  </si>
  <si>
    <t>Email</t>
  </si>
  <si>
    <t>Category</t>
  </si>
  <si>
    <t>LeadTimeDays</t>
  </si>
  <si>
    <t>Zamchick Hatchery</t>
  </si>
  <si>
    <t>+260-97-111-2222</t>
  </si>
  <si>
    <t>sales@zamchick.example</t>
  </si>
  <si>
    <t>Day-Old Chicks</t>
  </si>
  <si>
    <t>National Milling Co</t>
  </si>
  <si>
    <t>+260-96-333-4444</t>
  </si>
  <si>
    <t>orders@natmill.example</t>
  </si>
  <si>
    <t>Feed</t>
  </si>
  <si>
    <t>AgroVet Supplies Ltd</t>
  </si>
  <si>
    <t>+260-95-555-6666</t>
  </si>
  <si>
    <t>info@agrovet.example</t>
  </si>
  <si>
    <t>Veterinary</t>
  </si>
  <si>
    <t>Lusaka Wood Shavings Ltd</t>
  </si>
  <si>
    <t>+260-97-888-1111</t>
  </si>
  <si>
    <t>sales@lusakawood.example</t>
  </si>
  <si>
    <t>Bedding/Litter</t>
  </si>
  <si>
    <t>CustomerID</t>
  </si>
  <si>
    <t>CustomerName</t>
  </si>
  <si>
    <t>Address</t>
  </si>
  <si>
    <t>PriceTier</t>
  </si>
  <si>
    <t>PaymentTerms</t>
  </si>
  <si>
    <t>Shoprite Lusaka</t>
  </si>
  <si>
    <t>+260-21-123-4567</t>
  </si>
  <si>
    <t>Cairo Road, Lusaka</t>
  </si>
  <si>
    <t>Wholesale</t>
  </si>
  <si>
    <t>30 Days Credit</t>
  </si>
  <si>
    <t>Melissa Poultry Traders</t>
  </si>
  <si>
    <t>+260-97-777-8888</t>
  </si>
  <si>
    <t>Kabwata, Lusaka</t>
  </si>
  <si>
    <t>Retail</t>
  </si>
  <si>
    <t>Cash on Delivery</t>
  </si>
  <si>
    <t>City Market Vendors Assoc</t>
  </si>
  <si>
    <t>+260-96-222-3333</t>
  </si>
  <si>
    <t>City Market, Lusaka</t>
  </si>
  <si>
    <t>Bulk</t>
  </si>
  <si>
    <t>ProductID</t>
  </si>
  <si>
    <t>ProductName</t>
  </si>
  <si>
    <t>Type</t>
  </si>
  <si>
    <t>DosageUnit</t>
  </si>
  <si>
    <t>WithdrawalDays</t>
  </si>
  <si>
    <t>Newcastle Disease Vaccine (Lasota)</t>
  </si>
  <si>
    <t>Vaccine</t>
  </si>
  <si>
    <t>ml/bird</t>
  </si>
  <si>
    <t>Gumboro Vaccine (IBD)</t>
  </si>
  <si>
    <t>Amoxicillin Oral Solution</t>
  </si>
  <si>
    <t>Antibiotic</t>
  </si>
  <si>
    <t>ml/L water</t>
  </si>
  <si>
    <t>Multivitamin Booster</t>
  </si>
  <si>
    <t>Supplement</t>
  </si>
  <si>
    <t>UserID</t>
  </si>
  <si>
    <t>UserName</t>
  </si>
  <si>
    <t>Role</t>
  </si>
  <si>
    <t>A. Mwansa</t>
  </si>
  <si>
    <t>Admin</t>
  </si>
  <si>
    <t>B. Tembo</t>
  </si>
  <si>
    <t>Supervisor</t>
  </si>
  <si>
    <t>C. Banda</t>
  </si>
  <si>
    <t>Entry Clerk</t>
  </si>
  <si>
    <t>Parameter</t>
  </si>
  <si>
    <t>Value</t>
  </si>
  <si>
    <t>CompanyName</t>
  </si>
  <si>
    <t>FarmNow Limited</t>
  </si>
  <si>
    <t>Location</t>
  </si>
  <si>
    <t>Lusaka, Zambia</t>
  </si>
  <si>
    <t>Phone</t>
  </si>
  <si>
    <t>+260 000 000000</t>
  </si>
  <si>
    <t>info@farmnow.example</t>
  </si>
  <si>
    <t>CurrencySymbol</t>
  </si>
  <si>
    <t>K</t>
  </si>
  <si>
    <t>ReportCurrency</t>
  </si>
  <si>
    <t>ZMW</t>
  </si>
  <si>
    <t>TargetFCR</t>
  </si>
  <si>
    <t>TargetLivabilityPct</t>
  </si>
  <si>
    <t>MortalityAlertThresholdPct</t>
  </si>
  <si>
    <t>MedicineExpiryWarningDays</t>
  </si>
  <si>
    <t>CurrentFlockCounter</t>
  </si>
  <si>
    <t>PaymentMethod</t>
  </si>
  <si>
    <t>LitterCondition</t>
  </si>
  <si>
    <t>Ventilation</t>
  </si>
  <si>
    <t>ExpenseCategory</t>
  </si>
  <si>
    <t>YesNo</t>
  </si>
  <si>
    <t>MortalityCause</t>
  </si>
  <si>
    <t>VaccinationRoute</t>
  </si>
  <si>
    <t>Cash</t>
  </si>
  <si>
    <t>Dry</t>
  </si>
  <si>
    <t>Good</t>
  </si>
  <si>
    <t>Yes</t>
  </si>
  <si>
    <t>Normal Culling</t>
  </si>
  <si>
    <t>Eye Drop</t>
  </si>
  <si>
    <t>Mobile Money</t>
  </si>
  <si>
    <t>Damp</t>
  </si>
  <si>
    <t>Fair</t>
  </si>
  <si>
    <t>No</t>
  </si>
  <si>
    <t>Heat Stress</t>
  </si>
  <si>
    <t>Drinking Water</t>
  </si>
  <si>
    <t>Bank Transfer</t>
  </si>
  <si>
    <t>Wet</t>
  </si>
  <si>
    <t>Poor</t>
  </si>
  <si>
    <t>Utilities</t>
  </si>
  <si>
    <t>Disease</t>
  </si>
  <si>
    <t>Injection</t>
  </si>
  <si>
    <t>Cheque</t>
  </si>
  <si>
    <t>Needs Changing</t>
  </si>
  <si>
    <t>Labour</t>
  </si>
  <si>
    <t>Predator</t>
  </si>
  <si>
    <t>Spray</t>
  </si>
  <si>
    <t>Credit</t>
  </si>
  <si>
    <t>Transport</t>
  </si>
  <si>
    <t>Cold Stress</t>
  </si>
  <si>
    <t>Other</t>
  </si>
  <si>
    <t>Heater/Fuel</t>
  </si>
  <si>
    <t>Miscellaneous</t>
  </si>
  <si>
    <t>FlockID</t>
  </si>
  <si>
    <t>PlacedDate</t>
  </si>
  <si>
    <t>InitialBirdCount</t>
  </si>
  <si>
    <t>ExpectedDispatchDate</t>
  </si>
  <si>
    <t>FLK-001</t>
  </si>
  <si>
    <t>Closed</t>
  </si>
  <si>
    <t>FLK-002</t>
  </si>
  <si>
    <t>FLK-003</t>
  </si>
  <si>
    <t>FLK-004</t>
  </si>
  <si>
    <t>EntryID</t>
  </si>
  <si>
    <t>Date</t>
  </si>
  <si>
    <t>MortalityCount</t>
  </si>
  <si>
    <t>Cause</t>
  </si>
  <si>
    <t>CumulativeMortality</t>
  </si>
  <si>
    <t>EnteredBy</t>
  </si>
  <si>
    <t>IsActive</t>
  </si>
  <si>
    <t>MORT-0001</t>
  </si>
  <si>
    <t>MORT-0002</t>
  </si>
  <si>
    <t>MORT-0003</t>
  </si>
  <si>
    <t>MORT-0004</t>
  </si>
  <si>
    <t>MORT-0005</t>
  </si>
  <si>
    <t>MORT-0006</t>
  </si>
  <si>
    <t>MORT-0007</t>
  </si>
  <si>
    <t>MORT-0008</t>
  </si>
  <si>
    <t>MORT-0009</t>
  </si>
  <si>
    <t>MORT-0010</t>
  </si>
  <si>
    <t>MORT-0011</t>
  </si>
  <si>
    <t>MORT-0012</t>
  </si>
  <si>
    <t>MORT-0013</t>
  </si>
  <si>
    <t>MORT-0014</t>
  </si>
  <si>
    <t>MORT-0015</t>
  </si>
  <si>
    <t>MORT-0016</t>
  </si>
  <si>
    <t>MORT-0017</t>
  </si>
  <si>
    <t>MORT-0018</t>
  </si>
  <si>
    <t>MORT-0019</t>
  </si>
  <si>
    <t>MORT-0020</t>
  </si>
  <si>
    <t>MORT-0021</t>
  </si>
  <si>
    <t>MORT-0022</t>
  </si>
  <si>
    <t>MORT-0023</t>
  </si>
  <si>
    <t>MORT-0024</t>
  </si>
  <si>
    <t>MORT-0025</t>
  </si>
  <si>
    <t>MORT-0026</t>
  </si>
  <si>
    <t>MORT-0027</t>
  </si>
  <si>
    <t>MORT-0028</t>
  </si>
  <si>
    <t>MORT-0029</t>
  </si>
  <si>
    <t>MORT-0030</t>
  </si>
  <si>
    <t>MORT-0031</t>
  </si>
  <si>
    <t>KgUsed</t>
  </si>
  <si>
    <t>CostZMW</t>
  </si>
  <si>
    <t>RunningTotalKg</t>
  </si>
  <si>
    <t>FEED-0001</t>
  </si>
  <si>
    <t>FEED-0002</t>
  </si>
  <si>
    <t>FEED-0003</t>
  </si>
  <si>
    <t>FEED-0004</t>
  </si>
  <si>
    <t>FEED-0005</t>
  </si>
  <si>
    <t>FEED-0006</t>
  </si>
  <si>
    <t>FEED-0007</t>
  </si>
  <si>
    <t>FEED-0008</t>
  </si>
  <si>
    <t>FEED-0009</t>
  </si>
  <si>
    <t>FEED-0010</t>
  </si>
  <si>
    <t>FEED-0011</t>
  </si>
  <si>
    <t>FEED-0012</t>
  </si>
  <si>
    <t>FEED-0013</t>
  </si>
  <si>
    <t>FEED-0014</t>
  </si>
  <si>
    <t>FEED-0015</t>
  </si>
  <si>
    <t>FEED-0016</t>
  </si>
  <si>
    <t>FEED-0017</t>
  </si>
  <si>
    <t>FEED-0018</t>
  </si>
  <si>
    <t>FEED-0019</t>
  </si>
  <si>
    <t>FEED-0020</t>
  </si>
  <si>
    <t>FEED-0021</t>
  </si>
  <si>
    <t>FEED-0022</t>
  </si>
  <si>
    <t>FEED-0023</t>
  </si>
  <si>
    <t>FEED-0024</t>
  </si>
  <si>
    <t>FEED-0025</t>
  </si>
  <si>
    <t>FEED-0026</t>
  </si>
  <si>
    <t>FEED-0027</t>
  </si>
  <si>
    <t>WeekNo</t>
  </si>
  <si>
    <t>SampleSize</t>
  </si>
  <si>
    <t>AvgBodyWeightG</t>
  </si>
  <si>
    <t>AgeDays</t>
  </si>
  <si>
    <t>ADG_g</t>
  </si>
  <si>
    <t>WGT-0001</t>
  </si>
  <si>
    <t>WGT-0002</t>
  </si>
  <si>
    <t>WGT-0003</t>
  </si>
  <si>
    <t>WGT-0004</t>
  </si>
  <si>
    <t>WGT-0005</t>
  </si>
  <si>
    <t>WGT-0006</t>
  </si>
  <si>
    <t>WGT-0007</t>
  </si>
  <si>
    <t>WGT-0008</t>
  </si>
  <si>
    <t>WGT-0009</t>
  </si>
  <si>
    <t>WGT-0010</t>
  </si>
  <si>
    <t>WGT-0011</t>
  </si>
  <si>
    <t>WGT-0012</t>
  </si>
  <si>
    <t>WGT-0013</t>
  </si>
  <si>
    <t>WGT-0014</t>
  </si>
  <si>
    <t>WGT-0015</t>
  </si>
  <si>
    <t>WGT-0016</t>
  </si>
  <si>
    <t>DosageGiven</t>
  </si>
  <si>
    <t>Route</t>
  </si>
  <si>
    <t>AdministeredBy</t>
  </si>
  <si>
    <t>RankInFlock</t>
  </si>
  <si>
    <t>CompositeKey</t>
  </si>
  <si>
    <t>HLTH-0001</t>
  </si>
  <si>
    <t>1 drop/bird</t>
  </si>
  <si>
    <t>HLTH-0002</t>
  </si>
  <si>
    <t>Per label / 1000 birds</t>
  </si>
  <si>
    <t>HLTH-0003</t>
  </si>
  <si>
    <t>1 ml/L water</t>
  </si>
  <si>
    <t>HLTH-0004</t>
  </si>
  <si>
    <t>HLTH-0005</t>
  </si>
  <si>
    <t>HLTH-0006</t>
  </si>
  <si>
    <t>2 ml/L water x 5 days</t>
  </si>
  <si>
    <t>HLTH-0007</t>
  </si>
  <si>
    <t>HLTH-0008</t>
  </si>
  <si>
    <t>HLTH-0009</t>
  </si>
  <si>
    <t>HLTH-0010</t>
  </si>
  <si>
    <t>HLTH-0011</t>
  </si>
  <si>
    <t>HLTH-0012</t>
  </si>
  <si>
    <t>BirdsDispatched</t>
  </si>
  <si>
    <t>TotalLiveWeightKg</t>
  </si>
  <si>
    <t>PricePerKg_ZMW</t>
  </si>
  <si>
    <t>PricePerBird_ZMW</t>
  </si>
  <si>
    <t>TransportCost_ZMW</t>
  </si>
  <si>
    <t>TotalValue_ZMW</t>
  </si>
  <si>
    <t>AmountPaid_ZMW</t>
  </si>
  <si>
    <t>OutstandingBalance_ZMW</t>
  </si>
  <si>
    <t>InvoiceNo</t>
  </si>
  <si>
    <t>SALE-0001</t>
  </si>
  <si>
    <t>INV-2026-0142</t>
  </si>
  <si>
    <t>SALE-0002</t>
  </si>
  <si>
    <t>INV-2026-0143</t>
  </si>
  <si>
    <t>Quantity</t>
  </si>
  <si>
    <t>UnitCost_ZMW</t>
  </si>
  <si>
    <t>Amount_ZMW</t>
  </si>
  <si>
    <t>PaymentRef</t>
  </si>
  <si>
    <t>ApprovedBy</t>
  </si>
  <si>
    <t>EXP-0001</t>
  </si>
  <si>
    <t>PMT-1001</t>
  </si>
  <si>
    <t>EXP-0002</t>
  </si>
  <si>
    <t>PMT-1002</t>
  </si>
  <si>
    <t>EXP-0003</t>
  </si>
  <si>
    <t>PMT-1005</t>
  </si>
  <si>
    <t>EXP-0004</t>
  </si>
  <si>
    <t>PMT-1009</t>
  </si>
  <si>
    <t>EXP-0005</t>
  </si>
  <si>
    <t>PMT-1010</t>
  </si>
  <si>
    <t>EXP-0006</t>
  </si>
  <si>
    <t>PMT-1011</t>
  </si>
  <si>
    <t>EXP-0007</t>
  </si>
  <si>
    <t>PMT-1012</t>
  </si>
  <si>
    <t>EXP-0008</t>
  </si>
  <si>
    <t>PMT-1018</t>
  </si>
  <si>
    <t>EXP-0009</t>
  </si>
  <si>
    <t>PMT-1024</t>
  </si>
  <si>
    <t>EXP-0010</t>
  </si>
  <si>
    <t>PMT-1026</t>
  </si>
  <si>
    <t>EXP-0011</t>
  </si>
  <si>
    <t>PMT-1027</t>
  </si>
  <si>
    <t>EXP-0012</t>
  </si>
  <si>
    <t>PMT-1032</t>
  </si>
  <si>
    <t>EXP-0013</t>
  </si>
  <si>
    <t>PMT-1035</t>
  </si>
  <si>
    <t>EXP-0014</t>
  </si>
  <si>
    <t>PMT-1036</t>
  </si>
  <si>
    <t>EXP-0015</t>
  </si>
  <si>
    <t>Overhead</t>
  </si>
  <si>
    <t>PMT-1037</t>
  </si>
  <si>
    <t>Time</t>
  </si>
  <si>
    <t>TemperatureC</t>
  </si>
  <si>
    <t>HumidityPct</t>
  </si>
  <si>
    <t>AmmoniaPPM</t>
  </si>
  <si>
    <t>ENV-0001</t>
  </si>
  <si>
    <t>07:00</t>
  </si>
  <si>
    <t>ENV-0002</t>
  </si>
  <si>
    <t>ENV-0003</t>
  </si>
  <si>
    <t>ENV-0004</t>
  </si>
  <si>
    <t>ENV-0005</t>
  </si>
  <si>
    <t>ENV-0006</t>
  </si>
  <si>
    <t>ENV-0007</t>
  </si>
  <si>
    <t>ENV-0008</t>
  </si>
  <si>
    <t>ENV-0009</t>
  </si>
  <si>
    <t>ENV-0010</t>
  </si>
  <si>
    <t>ENV-0011</t>
  </si>
  <si>
    <t>ENV-0012</t>
  </si>
  <si>
    <t>ENV-0013</t>
  </si>
  <si>
    <t>ENV-0014</t>
  </si>
  <si>
    <t>ENV-0015</t>
  </si>
  <si>
    <t>ENV-0016</t>
  </si>
  <si>
    <t>ENV-0017</t>
  </si>
  <si>
    <t>ENV-0018</t>
  </si>
  <si>
    <t>ENV-0019</t>
  </si>
  <si>
    <t>ENV-0020</t>
  </si>
  <si>
    <t>ENV-0021</t>
  </si>
  <si>
    <t>ENV-0022</t>
  </si>
  <si>
    <t>ENV-0023</t>
  </si>
  <si>
    <t>ENV-0024</t>
  </si>
  <si>
    <t>ENV-0025</t>
  </si>
  <si>
    <t>Source</t>
  </si>
  <si>
    <t>ReceivedBy</t>
  </si>
  <si>
    <t>INC-0001</t>
  </si>
  <si>
    <t>Manure Sales</t>
  </si>
  <si>
    <t>Sold manure from House 1</t>
  </si>
  <si>
    <t>G. Tembo</t>
  </si>
  <si>
    <t>INC-0002</t>
  </si>
  <si>
    <t>Empty Bag Sales</t>
  </si>
  <si>
    <t>Sold used feed bags</t>
  </si>
  <si>
    <t>INC-0003</t>
  </si>
  <si>
    <t>Sold manure from House 2</t>
  </si>
  <si>
    <t>DaysOnFarm</t>
  </si>
  <si>
    <t>InitialBirds</t>
  </si>
  <si>
    <t>TotalMortality</t>
  </si>
  <si>
    <t>CurrentBirds</t>
  </si>
  <si>
    <t>LivabilityPct</t>
  </si>
  <si>
    <t>TotalFeedKg</t>
  </si>
  <si>
    <t>TotalFeedCost_ZMW</t>
  </si>
  <si>
    <t>LatestWeightDate</t>
  </si>
  <si>
    <t>LatestAvgWeightG</t>
  </si>
  <si>
    <t>TotalExpenses_ZMW</t>
  </si>
  <si>
    <t>MedicineCost_ZMW</t>
  </si>
  <si>
    <t>TotalSalesValue_ZMW</t>
  </si>
  <si>
    <t>BirdsSold</t>
  </si>
  <si>
    <t>CostPerBird_ZMW</t>
  </si>
  <si>
    <t>CostPerKg_ZMW</t>
  </si>
  <si>
    <t>EstimatedProfit_ZMW</t>
  </si>
  <si>
    <t>BreakEvenPricePerBird_ZMW</t>
  </si>
  <si>
    <t>LogID</t>
  </si>
  <si>
    <t>TableName</t>
  </si>
  <si>
    <t>Action</t>
  </si>
  <si>
    <t>RecordID</t>
  </si>
  <si>
    <t>FieldChanged</t>
  </si>
  <si>
    <t>OldValue</t>
  </si>
  <si>
    <t>NewValue</t>
  </si>
  <si>
    <t>Timestamp</t>
  </si>
  <si>
    <t>Select Flock:</t>
  </si>
  <si>
    <t>Metric</t>
  </si>
  <si>
    <t>Placed Date</t>
  </si>
  <si>
    <t>Initial Bird Count</t>
  </si>
  <si>
    <t>Total Mortality</t>
  </si>
  <si>
    <t>Current Bird Count</t>
  </si>
  <si>
    <t>Total Feed Used (Kg)</t>
  </si>
  <si>
    <t>Latest Avg Body Weight (g)</t>
  </si>
  <si>
    <t>FCR (Feed Conversion Ratio)</t>
  </si>
  <si>
    <t>ADG (g/day)</t>
  </si>
  <si>
    <t>Total Feed Cost (ZMW)</t>
  </si>
  <si>
    <t>Medicine Cost (ZMW)</t>
  </si>
  <si>
    <t>Total Other Expenses (ZMW)</t>
  </si>
  <si>
    <t>Cost / Bird (ZMW)</t>
  </si>
  <si>
    <t>Cost / Kg Live Weight (ZMW)</t>
  </si>
  <si>
    <t>Break-even Price / Bird (ZMW)</t>
  </si>
  <si>
    <t>Total Sales Value (ZMW)</t>
  </si>
  <si>
    <t>Estimated Profit (ZMW)</t>
  </si>
  <si>
    <t>vs Breed Standard FCR</t>
  </si>
  <si>
    <t>Financial Summary Report - All Flocks</t>
  </si>
  <si>
    <t>Feed Cost (ZMW)</t>
  </si>
  <si>
    <t>Other Expenses (ZMW)</t>
  </si>
  <si>
    <t>Total Cost (ZMW)</t>
  </si>
  <si>
    <t>Sales Value (ZMW)</t>
  </si>
  <si>
    <t>Break-even Price/Bird (ZMW)</t>
  </si>
  <si>
    <t>TOTAL / AVERAGE</t>
  </si>
  <si>
    <t>Placed Date:</t>
  </si>
  <si>
    <t>Total Mortality To Date:</t>
  </si>
  <si>
    <t>Livability %:</t>
  </si>
  <si>
    <t>Week</t>
  </si>
  <si>
    <t>Date Range</t>
  </si>
  <si>
    <t>Mortality This Week</t>
  </si>
  <si>
    <t>Cumulative Mortality</t>
  </si>
  <si>
    <t>Vaccination / Health Log for Selected Flock</t>
  </si>
  <si>
    <t>Product</t>
  </si>
  <si>
    <t>Dosage</t>
  </si>
  <si>
    <t>EmployeeID</t>
  </si>
  <si>
    <t>EmployeeName</t>
  </si>
  <si>
    <t>Position</t>
  </si>
  <si>
    <t>ContactNumber</t>
  </si>
  <si>
    <t>NRC</t>
  </si>
  <si>
    <t>DateHired</t>
  </si>
  <si>
    <t>SalaryZMW</t>
  </si>
  <si>
    <t>D. Chanda</t>
  </si>
  <si>
    <t>Farm Manager</t>
  </si>
  <si>
    <t>+260-97-444-5555</t>
  </si>
  <si>
    <t>111111/10/1</t>
  </si>
  <si>
    <t>+260-96-222-1111</t>
  </si>
  <si>
    <t>222222/10/1</t>
  </si>
  <si>
    <t>+260-95-333-2222</t>
  </si>
  <si>
    <t>333333/10/1</t>
  </si>
  <si>
    <t>E. Zulu</t>
  </si>
  <si>
    <t>General Worker</t>
  </si>
  <si>
    <t>+260-97-666-7777</t>
  </si>
  <si>
    <t>444444/10/1</t>
  </si>
  <si>
    <t>+260-96-777-8888</t>
  </si>
  <si>
    <t>555555/10/1</t>
  </si>
  <si>
    <t>WaterAvailable</t>
  </si>
  <si>
    <t>FeedAvailable</t>
  </si>
  <si>
    <t>DrinkersCleaned</t>
  </si>
  <si>
    <t>SickBirdsObserved</t>
  </si>
  <si>
    <t>Notes</t>
  </si>
  <si>
    <t>RTN-0001</t>
  </si>
  <si>
    <t>Minor issue noted, resolved same day</t>
  </si>
  <si>
    <t>RTN-0002</t>
  </si>
  <si>
    <t>All normal</t>
  </si>
  <si>
    <t>RTN-0003</t>
  </si>
  <si>
    <t>RTN-0004</t>
  </si>
  <si>
    <t>RTN-0005</t>
  </si>
  <si>
    <t>RTN-0006</t>
  </si>
  <si>
    <t>RTN-0007</t>
  </si>
  <si>
    <t>RTN-0008</t>
  </si>
  <si>
    <t>RTN-0009</t>
  </si>
  <si>
    <t>RTN-0010</t>
  </si>
  <si>
    <t>RTN-0011</t>
  </si>
  <si>
    <t>RTN-0012</t>
  </si>
  <si>
    <t>RTN-0013</t>
  </si>
  <si>
    <t>RTN-0014</t>
  </si>
  <si>
    <t>RTN-0015</t>
  </si>
  <si>
    <t>RTN-0016</t>
  </si>
  <si>
    <t>RTN-0017</t>
  </si>
  <si>
    <t>RTN-0018</t>
  </si>
  <si>
    <t>RTN-0019</t>
  </si>
  <si>
    <t>RTN-0020</t>
  </si>
  <si>
    <t>RTN-0021</t>
  </si>
  <si>
    <t>RTN-0022</t>
  </si>
  <si>
    <t>RTN-0023</t>
  </si>
  <si>
    <t>RTN-0024</t>
  </si>
  <si>
    <t>RTN-0025</t>
  </si>
  <si>
    <t>RTN-0026</t>
  </si>
  <si>
    <t>RTN-0027</t>
  </si>
  <si>
    <t>RTN-0028</t>
  </si>
  <si>
    <t>RTN-0029</t>
  </si>
  <si>
    <t>RTN-0030</t>
  </si>
  <si>
    <t>RTN-0031</t>
  </si>
  <si>
    <t>RTN-0032</t>
  </si>
  <si>
    <t>RTN-0033</t>
  </si>
  <si>
    <t>RTN-0034</t>
  </si>
  <si>
    <t>RTN-0035</t>
  </si>
  <si>
    <t>RTN-0036</t>
  </si>
  <si>
    <t>RTN-0037</t>
  </si>
  <si>
    <t>RTN-0038</t>
  </si>
  <si>
    <t>RTN-0039</t>
  </si>
  <si>
    <t>RTN-0040</t>
  </si>
  <si>
    <t>RTN-0041</t>
  </si>
  <si>
    <t>RTN-0042</t>
  </si>
  <si>
    <t>NumberOfBags</t>
  </si>
  <si>
    <t>BagWeightKg</t>
  </si>
  <si>
    <t>UnitCostPerBag_ZMW</t>
  </si>
  <si>
    <t>TotalWeightKg</t>
  </si>
  <si>
    <t>TotalCost_ZMW</t>
  </si>
  <si>
    <t>FPO-0001</t>
  </si>
  <si>
    <t>2300801</t>
  </si>
  <si>
    <t>FPO-0002</t>
  </si>
  <si>
    <t>2300803</t>
  </si>
  <si>
    <t>FPO-0003</t>
  </si>
  <si>
    <t>2300802</t>
  </si>
  <si>
    <t>FPO-0004</t>
  </si>
  <si>
    <t>2300804</t>
  </si>
  <si>
    <t>FPO-0005</t>
  </si>
  <si>
    <t>2300805</t>
  </si>
  <si>
    <t>FPO-0006</t>
  </si>
  <si>
    <t>2300806</t>
  </si>
  <si>
    <t>FeedType</t>
  </si>
  <si>
    <t>OpeningStockKg</t>
  </si>
  <si>
    <t>PurchasedKg</t>
  </si>
  <si>
    <t>UsedKg</t>
  </si>
  <si>
    <t>BalanceKg</t>
  </si>
  <si>
    <t>LotNumber</t>
  </si>
  <si>
    <t>ExpiryDate</t>
  </si>
  <si>
    <t>QuantityReceived</t>
  </si>
  <si>
    <t>QuantityUsed</t>
  </si>
  <si>
    <t>Balance</t>
  </si>
  <si>
    <t>MED-0001</t>
  </si>
  <si>
    <t>MRK-2612</t>
  </si>
  <si>
    <t>MED-0002</t>
  </si>
  <si>
    <t>NCD-2614</t>
  </si>
  <si>
    <t>MED-0003</t>
  </si>
  <si>
    <t>AMX-0091</t>
  </si>
  <si>
    <t>MED-0004</t>
  </si>
  <si>
    <t>MRK-2701</t>
  </si>
  <si>
    <t>MED-0005</t>
  </si>
  <si>
    <t>MRK-2733</t>
  </si>
  <si>
    <t>MED-0006</t>
  </si>
  <si>
    <t>MRK-2801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</si>
</sst>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"/>
    <numFmt numFmtId="165" formatCode="#,##0.0"/>
    <numFmt numFmtId="166" formatCode="0.0"/>
    <numFmt numFmtId="167" formatCode="0.0%"/>
  </numFmts>
  <fonts count="14" x14ac:knownFonts="1">
    <font>
      <sz val="11"/>
      <color theme="1"/>
      <name val="Calibri"/>
      <family val="2"/>
      <scheme val="minor"/>
    </font>
    <font>
      <b/>
      <sz val="10"/>
      <color rgb="FFFFFFFF"/>
      <name val="Arial"/>
    </font>
    <font>
      <sz val="10"/>
      <name val="Arial"/>
    </font>
    <font>
      <b/>
      <sz val="18"/>
      <color rgb="FFFFFFFF"/>
      <name val="Arial"/>
    </font>
    <font>
      <i/>
      <sz val="10"/>
      <color rgb="FF595959"/>
      <name val="Arial"/>
    </font>
    <font>
      <b/>
      <sz val="20"/>
      <color rgb="FFFFFFFF"/>
      <name val="Arial"/>
    </font>
    <font>
      <i/>
      <sz val="9"/>
      <color rgb="FFFFFFFF"/>
      <name val="Arial"/>
    </font>
    <font>
      <b/>
      <sz val="12"/>
      <color rgb="FF1F3864"/>
      <name val="Arial"/>
    </font>
    <font>
      <u/>
      <sz val="10"/>
      <color rgb="FF0563C1"/>
      <name val="Arial"/>
    </font>
    <font>
      <i/>
      <sz val="9"/>
      <color rgb="FF7F7F7F"/>
      <name val="Arial"/>
    </font>
    <font>
      <b/>
      <sz val="13"/>
      <color rgb="FF1F3864"/>
      <name val="Arial"/>
    </font>
    <font>
      <b/>
      <sz val="10"/>
      <name val="Arial"/>
    </font>
    <font>
      <b/>
      <sz val="11"/>
      <color rgb="FFC00000"/>
      <name val="Arial"/>
    </font>
    <font>
      <b/>
      <sz val="10"/>
      <color rgb="FF1F3864"/>
      <name val="Arial"/>
    </font>
  </fonts>
  <fills count="14">
    <fill>
      <patternFill patternType="none"/>
    </fill>
    <fill>
      <patternFill patternType="gray125"/>
    </fill>
    <fill>
      <patternFill patternType="solid">
        <fgColor rgb="FF404040"/>
      </patternFill>
    </fill>
    <fill>
      <patternFill patternType="solid">
        <fgColor rgb="FF548235"/>
      </patternFill>
    </fill>
    <fill>
      <patternFill patternType="solid">
        <fgColor rgb="FFBF8F00"/>
      </patternFill>
    </fill>
    <fill>
      <patternFill patternType="solid"/>
    </fill>
    <fill>
      <patternFill patternType="solid">
        <fgColor rgb="FF1F3864"/>
      </patternFill>
    </fill>
    <fill>
      <patternFill patternType="solid">
        <fgColor rgb="FF2E75B6"/>
      </patternFill>
    </fill>
    <fill>
      <patternFill patternType="solid">
        <fgColor rgb="FF8EA9DB"/>
      </patternFill>
    </fill>
    <fill>
      <patternFill patternType="solid">
        <fgColor rgb="FFF2F2F2"/>
      </patternFill>
    </fill>
    <fill>
      <patternFill patternType="solid">
        <fgColor rgb="FFC00000"/>
      </patternFill>
    </fill>
    <fill>
      <patternFill patternType="solid">
        <fgColor rgb="FF7030A0"/>
      </patternFill>
    </fill>
    <fill>
      <patternFill patternType="solid">
        <fgColor rgb="FFFFF2CC"/>
      </patternFill>
    </fill>
    <fill>
      <patternFill patternType="solid">
        <fgColor rgb="FFE2D3F3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2" fillId="0" borderId="1" xfId="0" applyFont="1" applyBorder="1"/>
    <xf numFmtId="4" fontId="2" fillId="0" borderId="1" xfId="0" applyNumberFormat="1" applyFont="1" applyBorder="1"/>
    <xf numFmtId="0" fontId="1" fillId="2" borderId="1" xfId="0" applyFont="1" applyFill="1" applyBorder="1"/>
    <xf numFmtId="0" fontId="1" fillId="3" borderId="1" xfId="0" applyFont="1" applyFill="1" applyBorder="1" applyAlignment="1">
      <alignment horizontal="center" vertical="center" wrapText="1"/>
    </xf>
    <xf numFmtId="164" fontId="2" fillId="0" borderId="1" xfId="0" applyNumberFormat="1" applyFont="1" applyBorder="1"/>
    <xf numFmtId="3" fontId="2" fillId="0" borderId="1" xfId="0" applyNumberFormat="1" applyFont="1" applyBorder="1"/>
    <xf numFmtId="165" fontId="2" fillId="0" borderId="1" xfId="0" applyNumberFormat="1" applyFont="1" applyBorder="1"/>
    <xf numFmtId="166" fontId="2" fillId="0" borderId="1" xfId="0" applyNumberFormat="1" applyFont="1" applyBorder="1"/>
    <xf numFmtId="1" fontId="2" fillId="0" borderId="1" xfId="0" applyNumberFormat="1" applyFont="1" applyBorder="1"/>
    <xf numFmtId="0" fontId="1" fillId="4" borderId="1" xfId="0" applyFont="1" applyFill="1" applyBorder="1" applyAlignment="1">
      <alignment horizontal="center" vertical="center" wrapText="1"/>
    </xf>
    <xf numFmtId="167" fontId="2" fillId="0" borderId="1" xfId="0" applyNumberFormat="1" applyFont="1" applyBorder="1"/>
    <xf numFmtId="2" fontId="2" fillId="0" borderId="1" xfId="0" applyNumberFormat="1" applyFont="1" applyBorder="1"/>
    <xf numFmtId="0" fontId="1" fillId="5" borderId="1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0" fontId="2" fillId="9" borderId="1" xfId="0" applyFont="1" applyFill="1" applyBorder="1"/>
    <xf numFmtId="167" fontId="2" fillId="9" borderId="1" xfId="0" applyNumberFormat="1" applyFont="1" applyFill="1" applyBorder="1"/>
    <xf numFmtId="2" fontId="2" fillId="9" borderId="1" xfId="0" applyNumberFormat="1" applyFont="1" applyFill="1" applyBorder="1"/>
    <xf numFmtId="166" fontId="2" fillId="9" borderId="1" xfId="0" applyNumberFormat="1" applyFont="1" applyFill="1" applyBorder="1"/>
    <xf numFmtId="4" fontId="2" fillId="9" borderId="1" xfId="0" applyNumberFormat="1" applyFont="1" applyFill="1" applyBorder="1"/>
    <xf numFmtId="0" fontId="1" fillId="10" borderId="1" xfId="0" applyFont="1" applyFill="1" applyBorder="1"/>
    <xf numFmtId="0" fontId="1" fillId="6" borderId="1" xfId="0" applyFont="1" applyFill="1" applyBorder="1"/>
    <xf numFmtId="0" fontId="8" fillId="0" borderId="1" xfId="0" applyFont="1" applyBorder="1"/>
    <xf numFmtId="0" fontId="11" fillId="0" borderId="0" xfId="0" applyFont="1"/>
    <xf numFmtId="0" fontId="12" fillId="12" borderId="1" xfId="0" applyFont="1" applyFill="1" applyBorder="1"/>
    <xf numFmtId="0" fontId="1" fillId="11" borderId="1" xfId="0" applyFont="1" applyFill="1" applyBorder="1"/>
    <xf numFmtId="0" fontId="11" fillId="0" borderId="1" xfId="0" applyFont="1" applyBorder="1"/>
    <xf numFmtId="0" fontId="11" fillId="9" borderId="1" xfId="0" applyFont="1" applyFill="1" applyBorder="1"/>
    <xf numFmtId="3" fontId="2" fillId="9" borderId="1" xfId="0" applyNumberFormat="1" applyFont="1" applyFill="1" applyBorder="1"/>
    <xf numFmtId="0" fontId="1" fillId="11" borderId="1" xfId="0" applyFont="1" applyFill="1" applyBorder="1" applyAlignment="1">
      <alignment horizontal="center" vertical="center" wrapText="1"/>
    </xf>
    <xf numFmtId="0" fontId="11" fillId="13" borderId="1" xfId="0" applyFont="1" applyFill="1" applyBorder="1"/>
    <xf numFmtId="0" fontId="0" fillId="13" borderId="1" xfId="0" applyFill="1" applyBorder="1"/>
    <xf numFmtId="4" fontId="11" fillId="13" borderId="1" xfId="0" applyNumberFormat="1" applyFont="1" applyFill="1" applyBorder="1"/>
    <xf numFmtId="164" fontId="0" fillId="0" borderId="0" xfId="0" applyNumberFormat="1"/>
    <xf numFmtId="3" fontId="0" fillId="0" borderId="0" xfId="0" applyNumberFormat="1"/>
    <xf numFmtId="167" fontId="0" fillId="0" borderId="0" xfId="0" applyNumberFormat="1"/>
    <xf numFmtId="0" fontId="1" fillId="11" borderId="1" xfId="0" applyFont="1" applyFill="1" applyBorder="1" applyAlignment="1">
      <alignment horizontal="center" wrapText="1"/>
    </xf>
    <xf numFmtId="3" fontId="0" fillId="0" borderId="1" xfId="0" applyNumberFormat="1" applyBorder="1"/>
    <xf numFmtId="3" fontId="0" fillId="9" borderId="1" xfId="0" applyNumberFormat="1" applyFill="1" applyBorder="1"/>
    <xf numFmtId="164" fontId="2" fillId="9" borderId="1" xfId="0" applyNumberFormat="1" applyFont="1" applyFill="1" applyBorder="1"/>
    <xf numFmtId="0" fontId="13" fillId="0" borderId="0" xfId="0" applyFont="1"/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0" fontId="8" fillId="9" borderId="1" xfId="0" applyFont="1" applyFill="1" applyBorder="1" applyProtection="1">
      <protection locked="0"/>
    </xf>
    <xf numFmtId="0" fontId="7" fillId="0" borderId="0" xfId="0" applyFont="1"/>
    <xf numFmtId="0" fontId="0" fillId="0" borderId="0" xfId="0"/>
    <xf numFmtId="0" fontId="6" fillId="8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 wrapText="1"/>
    </xf>
    <xf numFmtId="167" fontId="5" fillId="6" borderId="0" xfId="0" applyNumberFormat="1" applyFont="1" applyFill="1" applyAlignment="1">
      <alignment horizontal="center" vertical="center"/>
    </xf>
    <xf numFmtId="10" fontId="5" fillId="6" borderId="0" xfId="0" applyNumberFormat="1" applyFont="1" applyFill="1" applyAlignment="1">
      <alignment horizontal="center" vertical="center"/>
    </xf>
    <xf numFmtId="2" fontId="5" fillId="6" borderId="0" xfId="0" applyNumberFormat="1" applyFont="1" applyFill="1" applyAlignment="1">
      <alignment horizontal="center" vertical="center"/>
    </xf>
    <xf numFmtId="4" fontId="5" fillId="6" borderId="0" xfId="0" applyNumberFormat="1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 indent="2"/>
    </xf>
    <xf numFmtId="0" fontId="0" fillId="6" borderId="0" xfId="0" applyFill="1"/>
    <xf numFmtId="0" fontId="4" fillId="0" borderId="0" xfId="0" applyFont="1"/>
    <xf numFmtId="166" fontId="5" fillId="6" borderId="0" xfId="0" applyNumberFormat="1" applyFont="1" applyFill="1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3" fillId="11" borderId="0" xfId="0" applyFont="1" applyFill="1" applyAlignment="1">
      <alignment horizontal="left" vertical="center" indent="2"/>
    </xf>
    <xf numFmtId="0" fontId="0" fillId="11" borderId="0" xfId="0" applyFill="1"/>
  </cellXfs>
  <cellStyles count="1">
    <cellStyle name="Normal" xfId="0" builtinId="0"/>
  </cellStyles>
  <dxfs count="5">
    <dxf>
      <font>
        <color rgb="FF9C0006"/>
      </font>
      <fill>
        <patternFill patternType="solid">
          <fgColor rgb="FFFFC7CE"/>
        </patternFill>
      </fill>
    </dxf>
    <dxf>
      <font>
        <color rgb="FF9C0006"/>
      </font>
      <fill>
        <patternFill patternType="solid">
          <fgColor rgb="FFFFC7CE"/>
        </patternFill>
      </fill>
    </dxf>
    <dxf>
      <font>
        <color rgb="FF9C0006"/>
      </font>
      <fill>
        <patternFill patternType="solid">
          <fgColor rgb="FFFFC7CE"/>
        </patternFill>
      </fill>
    </dxf>
    <dxf>
      <font>
        <b/>
        <color rgb="FF9C0006"/>
      </font>
      <fill>
        <patternFill patternType="solid">
          <fgColor rgb="FFFFC7CE"/>
        </patternFill>
      </fill>
    </dxf>
    <dxf>
      <font>
        <b/>
        <color rgb="FF9C0006"/>
      </font>
      <fill>
        <patternFill patternType="solid">
          <f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10"/>
  <c:chart>
    <c:title>
      <c:tx>
        <c:rich>
          <a:bodyPr/>
          <a:lstStyle/>
          <a:p>
            <a:pPr>
              <a:defRPr/>
            </a:pPr>
            <a:r>
              <a:rPr lang="en-US"/>
              <a:t>FCR by Flock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Dashboard!$G$10</c:f>
              <c:strCache>
                <c:ptCount val="1"/>
                <c:pt idx="0">
                  <c:v>FCR</c:v>
                </c:pt>
              </c:strCache>
            </c:strRef>
          </c:tx>
          <c:spPr>
            <a:solidFill>
              <a:srgbClr val="C55A11"/>
            </a:solidFill>
            <a:ln>
              <a:prstDash val="solid"/>
            </a:ln>
          </c:spPr>
          <c:invertIfNegative val="1"/>
          <c:cat>
            <c:strRef>
              <c:f>Dashboard!$A$11:$A$14</c:f>
              <c:strCache>
                <c:ptCount val="4"/>
                <c:pt idx="0">
                  <c:v>FLK-001</c:v>
                </c:pt>
                <c:pt idx="1">
                  <c:v>FLK-002</c:v>
                </c:pt>
                <c:pt idx="2">
                  <c:v>FLK-003</c:v>
                </c:pt>
                <c:pt idx="3">
                  <c:v>FLK-004</c:v>
                </c:pt>
              </c:strCache>
            </c:strRef>
          </c:cat>
          <c:val>
            <c:numRef>
              <c:f>Dashboard!$G$11:$G$14</c:f>
              <c:numCache>
                <c:formatCode>0.00</c:formatCode>
                <c:ptCount val="4"/>
                <c:pt idx="0">
                  <c:v>1.2572922953128143</c:v>
                </c:pt>
                <c:pt idx="1">
                  <c:v>1.5099657741091204</c:v>
                </c:pt>
                <c:pt idx="2">
                  <c:v>1.4102564102564101</c:v>
                </c:pt>
                <c:pt idx="3">
                  <c:v>0.7021063189568707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0027-4D78-90B0-9FC981464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Flock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FCR</a:t>
                </a:r>
              </a:p>
            </c:rich>
          </c:tx>
          <c:overlay val="1"/>
        </c:title>
        <c:numFmt formatCode="0.0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10"/>
  <c:chart>
    <c:title>
      <c:tx>
        <c:rich>
          <a:bodyPr/>
          <a:lstStyle/>
          <a:p>
            <a:pPr>
              <a:defRPr/>
            </a:pPr>
            <a:r>
              <a:rPr lang="en-US"/>
              <a:t>Livability % by Flock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Dashboard!$F$10</c:f>
              <c:strCache>
                <c:ptCount val="1"/>
                <c:pt idx="0">
                  <c:v>Livability %</c:v>
                </c:pt>
              </c:strCache>
            </c:strRef>
          </c:tx>
          <c:spPr>
            <a:solidFill>
              <a:srgbClr val="548235"/>
            </a:solidFill>
            <a:ln>
              <a:prstDash val="solid"/>
            </a:ln>
          </c:spPr>
          <c:invertIfNegative val="1"/>
          <c:cat>
            <c:strRef>
              <c:f>Dashboard!$A$11:$A$14</c:f>
              <c:strCache>
                <c:ptCount val="4"/>
                <c:pt idx="0">
                  <c:v>FLK-001</c:v>
                </c:pt>
                <c:pt idx="1">
                  <c:v>FLK-002</c:v>
                </c:pt>
                <c:pt idx="2">
                  <c:v>FLK-003</c:v>
                </c:pt>
                <c:pt idx="3">
                  <c:v>FLK-004</c:v>
                </c:pt>
              </c:strCache>
            </c:strRef>
          </c:cat>
          <c:val>
            <c:numRef>
              <c:f>Dashboard!$F$11:$F$14</c:f>
              <c:numCache>
                <c:formatCode>0.0%</c:formatCode>
                <c:ptCount val="4"/>
                <c:pt idx="0">
                  <c:v>0.99419999999999997</c:v>
                </c:pt>
                <c:pt idx="1">
                  <c:v>0.99339999999999995</c:v>
                </c:pt>
                <c:pt idx="2">
                  <c:v>0.99450000000000005</c:v>
                </c:pt>
                <c:pt idx="3">
                  <c:v>0.997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315B-44F3-B8FA-07353D60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Flock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Livability</a:t>
                </a:r>
              </a:p>
            </c:rich>
          </c:tx>
          <c:overlay val="1"/>
        </c:title>
        <c:numFmt formatCode="0.0%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10"/>
  <c:chart>
    <c:title>
      <c:tx>
        <c:rich>
          <a:bodyPr/>
          <a:lstStyle/>
          <a:p>
            <a:pPr>
              <a:defRPr/>
            </a:pPr>
            <a:r>
              <a:rPr lang="en-US"/>
              <a:t>Cost per Bird (ZMW) by Flock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Dashboard!$I$10</c:f>
              <c:strCache>
                <c:ptCount val="1"/>
                <c:pt idx="0">
                  <c:v>Cost/Bird (ZMW)</c:v>
                </c:pt>
              </c:strCache>
            </c:strRef>
          </c:tx>
          <c:spPr>
            <a:solidFill>
              <a:srgbClr val="7030A0"/>
            </a:solidFill>
            <a:ln>
              <a:prstDash val="solid"/>
            </a:ln>
          </c:spPr>
          <c:invertIfNegative val="1"/>
          <c:cat>
            <c:strRef>
              <c:f>Dashboard!$A$11:$A$14</c:f>
              <c:strCache>
                <c:ptCount val="4"/>
                <c:pt idx="0">
                  <c:v>FLK-001</c:v>
                </c:pt>
                <c:pt idx="1">
                  <c:v>FLK-002</c:v>
                </c:pt>
                <c:pt idx="2">
                  <c:v>FLK-003</c:v>
                </c:pt>
                <c:pt idx="3">
                  <c:v>FLK-004</c:v>
                </c:pt>
              </c:strCache>
            </c:strRef>
          </c:cat>
          <c:val>
            <c:numRef>
              <c:f>Dashboard!$I$11:$I$14</c:f>
              <c:numCache>
                <c:formatCode>#,##0.00</c:formatCode>
                <c:ptCount val="4"/>
                <c:pt idx="0">
                  <c:v>40.478000000000002</c:v>
                </c:pt>
                <c:pt idx="1">
                  <c:v>47.335599999999999</c:v>
                </c:pt>
                <c:pt idx="2">
                  <c:v>18.768699999999999</c:v>
                </c:pt>
                <c:pt idx="3">
                  <c:v>6.4349999999999996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7DA4-4B74-AFFF-89136E048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Flock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ZMW</a:t>
                </a:r>
              </a:p>
            </c:rich>
          </c:tx>
          <c:overlay val="1"/>
        </c:title>
        <c:numFmt formatCode="#,##0.0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17</xdr:row>
      <xdr:rowOff>0</xdr:rowOff>
    </xdr:from>
    <xdr:ext cx="432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6</xdr:col>
      <xdr:colOff>0</xdr:colOff>
      <xdr:row>17</xdr:row>
      <xdr:rowOff>0</xdr:rowOff>
    </xdr:from>
    <xdr:ext cx="4320000" cy="27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12</xdr:col>
      <xdr:colOff>0</xdr:colOff>
      <xdr:row>17</xdr:row>
      <xdr:rowOff>0</xdr:rowOff>
    </xdr:from>
    <xdr:ext cx="4320000" cy="270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st_Houses" displayName="mst_Houses" ref="A1:E5">
  <autoFilter ref="A1:E5" xr:uid="{00000000-0009-0000-0100-000001000000}"/>
  <tableColumns count="5">
    <tableColumn id="1" xr3:uid="{00000000-0010-0000-0000-000001000000}" name="HouseID"/>
    <tableColumn id="2" xr3:uid="{00000000-0010-0000-0000-000002000000}" name="HouseCode"/>
    <tableColumn id="3" xr3:uid="{00000000-0010-0000-0000-000003000000}" name="Capacity"/>
    <tableColumn id="4" xr3:uid="{00000000-0010-0000-0000-000004000000}" name="LocationZone"/>
    <tableColumn id="5" xr3:uid="{00000000-0010-0000-0000-000005000000}" name="Status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mst_Breeds" displayName="mst_Breeds" ref="A1:D4">
  <autoFilter ref="A1:D4" xr:uid="{00000000-0009-0000-0100-000002000000}"/>
  <tableColumns count="4">
    <tableColumn id="1" xr3:uid="{00000000-0010-0000-0100-000001000000}" name="BreedID"/>
    <tableColumn id="2" xr3:uid="{00000000-0010-0000-0100-000002000000}" name="BreedName"/>
    <tableColumn id="3" xr3:uid="{00000000-0010-0000-0100-000003000000}" name="StandardFCR"/>
    <tableColumn id="4" xr3:uid="{00000000-0010-0000-0100-000004000000}" name="StandardADG_g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mst_FeedTypes" displayName="mst_FeedTypes" ref="A1:F4">
  <autoFilter ref="A1:F4" xr:uid="{00000000-0009-0000-0100-000003000000}"/>
  <tableColumns count="6">
    <tableColumn id="1" xr3:uid="{00000000-0010-0000-0200-000001000000}" name="FeedID"/>
    <tableColumn id="2" xr3:uid="{00000000-0010-0000-0200-000002000000}" name="FeedName"/>
    <tableColumn id="3" xr3:uid="{00000000-0010-0000-0200-000003000000}" name="Stage"/>
    <tableColumn id="4" xr3:uid="{00000000-0010-0000-0200-000004000000}" name="UnitCostPerKg_ZMW"/>
    <tableColumn id="5" xr3:uid="{00000000-0010-0000-0200-000005000000}" name="StandardBagWeightKg"/>
    <tableColumn id="6" xr3:uid="{00000000-0010-0000-0200-000006000000}" name="MinStockKg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mst_Suppliers" displayName="mst_Suppliers" ref="A1:F5">
  <autoFilter ref="A1:F5" xr:uid="{00000000-0009-0000-0100-000004000000}"/>
  <tableColumns count="6">
    <tableColumn id="1" xr3:uid="{00000000-0010-0000-0300-000001000000}" name="SupplierID"/>
    <tableColumn id="2" xr3:uid="{00000000-0010-0000-0300-000002000000}" name="SupplierName"/>
    <tableColumn id="3" xr3:uid="{00000000-0010-0000-0300-000003000000}" name="Contact"/>
    <tableColumn id="4" xr3:uid="{00000000-0010-0000-0300-000004000000}" name="Email"/>
    <tableColumn id="5" xr3:uid="{00000000-0010-0000-0300-000005000000}" name="Category"/>
    <tableColumn id="6" xr3:uid="{00000000-0010-0000-0300-000006000000}" name="LeadTimeDays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mst_Customers" displayName="mst_Customers" ref="A1:F4">
  <autoFilter ref="A1:F4" xr:uid="{00000000-0009-0000-0100-000005000000}"/>
  <tableColumns count="6">
    <tableColumn id="1" xr3:uid="{00000000-0010-0000-0400-000001000000}" name="CustomerID"/>
    <tableColumn id="2" xr3:uid="{00000000-0010-0000-0400-000002000000}" name="CustomerName"/>
    <tableColumn id="3" xr3:uid="{00000000-0010-0000-0400-000003000000}" name="Contact"/>
    <tableColumn id="4" xr3:uid="{00000000-0010-0000-0400-000004000000}" name="Address"/>
    <tableColumn id="5" xr3:uid="{00000000-0010-0000-0400-000005000000}" name="PriceTier"/>
    <tableColumn id="6" xr3:uid="{00000000-0010-0000-0400-000006000000}" name="PaymentTerms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mst_Vaccines_Meds" displayName="mst_Vaccines_Meds" ref="A1:E5">
  <autoFilter ref="A1:E5" xr:uid="{00000000-0009-0000-0100-000006000000}"/>
  <tableColumns count="5">
    <tableColumn id="1" xr3:uid="{00000000-0010-0000-0500-000001000000}" name="ProductID"/>
    <tableColumn id="2" xr3:uid="{00000000-0010-0000-0500-000002000000}" name="ProductName"/>
    <tableColumn id="3" xr3:uid="{00000000-0010-0000-0500-000003000000}" name="Type"/>
    <tableColumn id="4" xr3:uid="{00000000-0010-0000-0500-000004000000}" name="DosageUnit"/>
    <tableColumn id="5" xr3:uid="{00000000-0010-0000-0500-000005000000}" name="WithdrawalDays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mst_Users" displayName="mst_Users" ref="A1:C4">
  <autoFilter ref="A1:C4" xr:uid="{00000000-0009-0000-0100-000007000000}"/>
  <tableColumns count="3">
    <tableColumn id="1" xr3:uid="{00000000-0010-0000-0600-000001000000}" name="UserID"/>
    <tableColumn id="2" xr3:uid="{00000000-0010-0000-0600-000002000000}" name="UserName"/>
    <tableColumn id="3" xr3:uid="{00000000-0010-0000-0600-000003000000}" name="Role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mst_Settings" displayName="mst_Settings" ref="A1:B12">
  <autoFilter ref="A1:B12" xr:uid="{00000000-0009-0000-0100-000008000000}"/>
  <tableColumns count="2">
    <tableColumn id="1" xr3:uid="{00000000-0010-0000-0700-000001000000}" name="Parameter"/>
    <tableColumn id="2" xr3:uid="{00000000-0010-0000-0700-000002000000}" name="Value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reg_Flocks" displayName="reg_Flocks" ref="A1:H5">
  <autoFilter ref="A1:H5" xr:uid="{00000000-0009-0000-0100-000009000000}"/>
  <tableColumns count="8">
    <tableColumn id="1" xr3:uid="{00000000-0010-0000-0800-000001000000}" name="FlockID"/>
    <tableColumn id="2" xr3:uid="{00000000-0010-0000-0800-000002000000}" name="HouseID"/>
    <tableColumn id="3" xr3:uid="{00000000-0010-0000-0800-000003000000}" name="BreedID"/>
    <tableColumn id="4" xr3:uid="{00000000-0010-0000-0800-000004000000}" name="PlacedDate"/>
    <tableColumn id="5" xr3:uid="{00000000-0010-0000-0800-000005000000}" name="InitialBirdCount"/>
    <tableColumn id="6" xr3:uid="{00000000-0010-0000-0800-000006000000}" name="SupplierID"/>
    <tableColumn id="7" xr3:uid="{00000000-0010-0000-0800-000007000000}" name="ExpectedDispatchDate"/>
    <tableColumn id="8" xr3:uid="{00000000-0010-0000-0800-000008000000}" name="Status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reg_DailyMortality" displayName="reg_DailyMortality" ref="A1:H32">
  <autoFilter ref="A1:H32" xr:uid="{00000000-0009-0000-0100-00000A000000}"/>
  <tableColumns count="8">
    <tableColumn id="1" xr3:uid="{00000000-0010-0000-0900-000001000000}" name="EntryID"/>
    <tableColumn id="2" xr3:uid="{00000000-0010-0000-0900-000002000000}" name="FlockID"/>
    <tableColumn id="3" xr3:uid="{00000000-0010-0000-0900-000003000000}" name="Date"/>
    <tableColumn id="4" xr3:uid="{00000000-0010-0000-0900-000004000000}" name="MortalityCount"/>
    <tableColumn id="5" xr3:uid="{00000000-0010-0000-0900-000005000000}" name="Cause"/>
    <tableColumn id="6" xr3:uid="{00000000-0010-0000-0900-000006000000}" name="CumulativeMortality"/>
    <tableColumn id="7" xr3:uid="{00000000-0010-0000-0900-000007000000}" name="EnteredBy"/>
    <tableColumn id="8" xr3:uid="{00000000-0010-0000-0900-000008000000}" name="IsActive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reg_FeedConsumption" displayName="reg_FeedConsumption" ref="A1:I28">
  <autoFilter ref="A1:I28" xr:uid="{00000000-0009-0000-0100-00000B000000}"/>
  <tableColumns count="9">
    <tableColumn id="1" xr3:uid="{00000000-0010-0000-0A00-000001000000}" name="EntryID"/>
    <tableColumn id="2" xr3:uid="{00000000-0010-0000-0A00-000002000000}" name="FlockID"/>
    <tableColumn id="3" xr3:uid="{00000000-0010-0000-0A00-000003000000}" name="Date"/>
    <tableColumn id="4" xr3:uid="{00000000-0010-0000-0A00-000004000000}" name="FeedID"/>
    <tableColumn id="5" xr3:uid="{00000000-0010-0000-0A00-000005000000}" name="KgUsed"/>
    <tableColumn id="6" xr3:uid="{00000000-0010-0000-0A00-000006000000}" name="CostZMW"/>
    <tableColumn id="7" xr3:uid="{00000000-0010-0000-0A00-000007000000}" name="RunningTotalKg"/>
    <tableColumn id="8" xr3:uid="{00000000-0010-0000-0A00-000008000000}" name="EnteredBy"/>
    <tableColumn id="9" xr3:uid="{00000000-0010-0000-0A00-000009000000}" name="IsActive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reg_WeeklyWeights" displayName="reg_WeeklyWeights" ref="A1:J17">
  <autoFilter ref="A1:J17" xr:uid="{00000000-0009-0000-0100-00000C000000}"/>
  <tableColumns count="10">
    <tableColumn id="1" xr3:uid="{00000000-0010-0000-0B00-000001000000}" name="EntryID"/>
    <tableColumn id="2" xr3:uid="{00000000-0010-0000-0B00-000002000000}" name="FlockID"/>
    <tableColumn id="3" xr3:uid="{00000000-0010-0000-0B00-000003000000}" name="Date"/>
    <tableColumn id="4" xr3:uid="{00000000-0010-0000-0B00-000004000000}" name="WeekNo"/>
    <tableColumn id="5" xr3:uid="{00000000-0010-0000-0B00-000005000000}" name="SampleSize"/>
    <tableColumn id="6" xr3:uid="{00000000-0010-0000-0B00-000006000000}" name="AvgBodyWeightG"/>
    <tableColumn id="7" xr3:uid="{00000000-0010-0000-0B00-000007000000}" name="AgeDays"/>
    <tableColumn id="8" xr3:uid="{00000000-0010-0000-0B00-000008000000}" name="ADG_g"/>
    <tableColumn id="9" xr3:uid="{00000000-0010-0000-0B00-000009000000}" name="EnteredBy"/>
    <tableColumn id="10" xr3:uid="{00000000-0010-0000-0B00-00000A000000}" name="IsActive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reg_Vaccination_Health" displayName="reg_Vaccination_Health" ref="A1:J13">
  <autoFilter ref="A1:J13" xr:uid="{00000000-0009-0000-0100-00000D000000}"/>
  <tableColumns count="10">
    <tableColumn id="1" xr3:uid="{00000000-0010-0000-0C00-000001000000}" name="EntryID"/>
    <tableColumn id="2" xr3:uid="{00000000-0010-0000-0C00-000002000000}" name="FlockID"/>
    <tableColumn id="3" xr3:uid="{00000000-0010-0000-0C00-000003000000}" name="Date"/>
    <tableColumn id="4" xr3:uid="{00000000-0010-0000-0C00-000004000000}" name="ProductID"/>
    <tableColumn id="5" xr3:uid="{00000000-0010-0000-0C00-000005000000}" name="DosageGiven"/>
    <tableColumn id="6" xr3:uid="{00000000-0010-0000-0C00-000006000000}" name="Route"/>
    <tableColumn id="7" xr3:uid="{00000000-0010-0000-0C00-000007000000}" name="AdministeredBy"/>
    <tableColumn id="8" xr3:uid="{00000000-0010-0000-0C00-000008000000}" name="IsActive"/>
    <tableColumn id="9" xr3:uid="{00000000-0010-0000-0C00-000009000000}" name="RankInFlock"/>
    <tableColumn id="10" xr3:uid="{00000000-0010-0000-0C00-00000A000000}" name="CompositeKey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reg_Sales_Dispatch" displayName="reg_Sales_Dispatch" ref="A1:O3">
  <autoFilter ref="A1:O3" xr:uid="{00000000-0009-0000-0100-00000E000000}"/>
  <tableColumns count="15">
    <tableColumn id="1" xr3:uid="{00000000-0010-0000-0D00-000001000000}" name="EntryID"/>
    <tableColumn id="2" xr3:uid="{00000000-0010-0000-0D00-000002000000}" name="FlockID"/>
    <tableColumn id="3" xr3:uid="{00000000-0010-0000-0D00-000003000000}" name="Date"/>
    <tableColumn id="4" xr3:uid="{00000000-0010-0000-0D00-000004000000}" name="CustomerID"/>
    <tableColumn id="5" xr3:uid="{00000000-0010-0000-0D00-000005000000}" name="BirdsDispatched"/>
    <tableColumn id="6" xr3:uid="{00000000-0010-0000-0D00-000006000000}" name="TotalLiveWeightKg"/>
    <tableColumn id="7" xr3:uid="{00000000-0010-0000-0D00-000007000000}" name="PricePerKg_ZMW"/>
    <tableColumn id="8" xr3:uid="{00000000-0010-0000-0D00-000008000000}" name="PricePerBird_ZMW"/>
    <tableColumn id="9" xr3:uid="{00000000-0010-0000-0D00-000009000000}" name="TransportCost_ZMW"/>
    <tableColumn id="10" xr3:uid="{00000000-0010-0000-0D00-00000A000000}" name="TotalValue_ZMW"/>
    <tableColumn id="11" xr3:uid="{00000000-0010-0000-0D00-00000B000000}" name="AmountPaid_ZMW"/>
    <tableColumn id="12" xr3:uid="{00000000-0010-0000-0D00-00000C000000}" name="OutstandingBalance_ZMW"/>
    <tableColumn id="13" xr3:uid="{00000000-0010-0000-0D00-00000D000000}" name="InvoiceNo"/>
    <tableColumn id="14" xr3:uid="{00000000-0010-0000-0D00-00000E000000}" name="EnteredBy"/>
    <tableColumn id="15" xr3:uid="{00000000-0010-0000-0D00-00000F000000}" name="IsActive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reg_Expenses" displayName="reg_Expenses" ref="A1:M16">
  <autoFilter ref="A1:M16" xr:uid="{00000000-0009-0000-0100-00000F000000}"/>
  <tableColumns count="13">
    <tableColumn id="1" xr3:uid="{00000000-0010-0000-0E00-000001000000}" name="EntryID"/>
    <tableColumn id="2" xr3:uid="{00000000-0010-0000-0E00-000002000000}" name="FlockID"/>
    <tableColumn id="3" xr3:uid="{00000000-0010-0000-0E00-000003000000}" name="Date"/>
    <tableColumn id="4" xr3:uid="{00000000-0010-0000-0E00-000004000000}" name="ExpenseCategory"/>
    <tableColumn id="5" xr3:uid="{00000000-0010-0000-0E00-000005000000}" name="SupplierID"/>
    <tableColumn id="6" xr3:uid="{00000000-0010-0000-0E00-000006000000}" name="Quantity"/>
    <tableColumn id="7" xr3:uid="{00000000-0010-0000-0E00-000007000000}" name="UnitCost_ZMW"/>
    <tableColumn id="8" xr3:uid="{00000000-0010-0000-0E00-000008000000}" name="Amount_ZMW"/>
    <tableColumn id="9" xr3:uid="{00000000-0010-0000-0E00-000009000000}" name="PaymentMethod"/>
    <tableColumn id="10" xr3:uid="{00000000-0010-0000-0E00-00000A000000}" name="PaymentRef"/>
    <tableColumn id="11" xr3:uid="{00000000-0010-0000-0E00-00000B000000}" name="ApprovedBy"/>
    <tableColumn id="12" xr3:uid="{00000000-0010-0000-0E00-00000C000000}" name="EnteredBy"/>
    <tableColumn id="13" xr3:uid="{00000000-0010-0000-0E00-00000D000000}" name="IsActive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reg_EnvironmentReadings" displayName="reg_EnvironmentReadings" ref="A1:I26">
  <autoFilter ref="A1:I26" xr:uid="{00000000-0009-0000-0100-000010000000}"/>
  <tableColumns count="9">
    <tableColumn id="1" xr3:uid="{00000000-0010-0000-0F00-000001000000}" name="EntryID"/>
    <tableColumn id="2" xr3:uid="{00000000-0010-0000-0F00-000002000000}" name="HouseID"/>
    <tableColumn id="3" xr3:uid="{00000000-0010-0000-0F00-000003000000}" name="Date"/>
    <tableColumn id="4" xr3:uid="{00000000-0010-0000-0F00-000004000000}" name="Time"/>
    <tableColumn id="5" xr3:uid="{00000000-0010-0000-0F00-000005000000}" name="TemperatureC"/>
    <tableColumn id="6" xr3:uid="{00000000-0010-0000-0F00-000006000000}" name="HumidityPct"/>
    <tableColumn id="7" xr3:uid="{00000000-0010-0000-0F00-000007000000}" name="AmmoniaPPM"/>
    <tableColumn id="8" xr3:uid="{00000000-0010-0000-0F00-000008000000}" name="EnteredBy"/>
    <tableColumn id="9" xr3:uid="{00000000-0010-0000-0F00-000009000000}" name="IsActive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reg_OtherIncome" displayName="reg_OtherIncome" ref="A1:H4">
  <autoFilter ref="A1:H4" xr:uid="{00000000-0009-0000-0100-000011000000}"/>
  <tableColumns count="8">
    <tableColumn id="1" xr3:uid="{00000000-0010-0000-1000-000001000000}" name="EntryID"/>
    <tableColumn id="2" xr3:uid="{00000000-0010-0000-1000-000002000000}" name="Date"/>
    <tableColumn id="3" xr3:uid="{00000000-0010-0000-1000-000003000000}" name="Source"/>
    <tableColumn id="4" xr3:uid="{00000000-0010-0000-1000-000004000000}" name="Description"/>
    <tableColumn id="5" xr3:uid="{00000000-0010-0000-1000-000005000000}" name="Amount_ZMW"/>
    <tableColumn id="6" xr3:uid="{00000000-0010-0000-1000-000006000000}" name="PaymentMethod"/>
    <tableColumn id="7" xr3:uid="{00000000-0010-0000-1000-000007000000}" name="ReceivedBy"/>
    <tableColumn id="8" xr3:uid="{00000000-0010-0000-1000-000008000000}" name="IsActive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calc_KPI_Engine" displayName="calc_KPI_Engine" ref="A1:X31">
  <autoFilter ref="A1:X31" xr:uid="{00000000-0009-0000-0100-000012000000}"/>
  <tableColumns count="24">
    <tableColumn id="1" xr3:uid="{00000000-0010-0000-1100-000001000000}" name="FlockID"/>
    <tableColumn id="2" xr3:uid="{00000000-0010-0000-1100-000002000000}" name="HouseCode"/>
    <tableColumn id="3" xr3:uid="{00000000-0010-0000-1100-000003000000}" name="BreedName"/>
    <tableColumn id="4" xr3:uid="{00000000-0010-0000-1100-000004000000}" name="PlacedDate"/>
    <tableColumn id="5" xr3:uid="{00000000-0010-0000-1100-000005000000}" name="Status"/>
    <tableColumn id="6" xr3:uid="{00000000-0010-0000-1100-000006000000}" name="DaysOnFarm"/>
    <tableColumn id="7" xr3:uid="{00000000-0010-0000-1100-000007000000}" name="InitialBirds"/>
    <tableColumn id="8" xr3:uid="{00000000-0010-0000-1100-000008000000}" name="TotalMortality"/>
    <tableColumn id="9" xr3:uid="{00000000-0010-0000-1100-000009000000}" name="CurrentBirds"/>
    <tableColumn id="10" xr3:uid="{00000000-0010-0000-1100-00000A000000}" name="LivabilityPct"/>
    <tableColumn id="11" xr3:uid="{00000000-0010-0000-1100-00000B000000}" name="TotalFeedKg"/>
    <tableColumn id="12" xr3:uid="{00000000-0010-0000-1100-00000C000000}" name="TotalFeedCost_ZMW"/>
    <tableColumn id="13" xr3:uid="{00000000-0010-0000-1100-00000D000000}" name="LatestWeightDate"/>
    <tableColumn id="14" xr3:uid="{00000000-0010-0000-1100-00000E000000}" name="LatestAvgWeightG"/>
    <tableColumn id="15" xr3:uid="{00000000-0010-0000-1100-00000F000000}" name="FCR"/>
    <tableColumn id="16" xr3:uid="{00000000-0010-0000-1100-000010000000}" name="ADG_g"/>
    <tableColumn id="17" xr3:uid="{00000000-0010-0000-1100-000011000000}" name="TotalExpenses_ZMW"/>
    <tableColumn id="18" xr3:uid="{00000000-0010-0000-1100-000012000000}" name="MedicineCost_ZMW"/>
    <tableColumn id="19" xr3:uid="{00000000-0010-0000-1100-000013000000}" name="TotalSalesValue_ZMW"/>
    <tableColumn id="20" xr3:uid="{00000000-0010-0000-1100-000014000000}" name="BirdsSold"/>
    <tableColumn id="21" xr3:uid="{00000000-0010-0000-1100-000015000000}" name="CostPerBird_ZMW"/>
    <tableColumn id="22" xr3:uid="{00000000-0010-0000-1100-000016000000}" name="CostPerKg_ZMW"/>
    <tableColumn id="23" xr3:uid="{00000000-0010-0000-1100-000017000000}" name="EstimatedProfit_ZMW"/>
    <tableColumn id="24" xr3:uid="{00000000-0010-0000-1100-000018000000}" name="BreakEvenPricePerBird_ZMW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Log_Audit" displayName="Log_Audit" ref="A1:I2">
  <autoFilter ref="A1:I2" xr:uid="{00000000-0009-0000-0100-000013000000}"/>
  <tableColumns count="9">
    <tableColumn id="1" xr3:uid="{00000000-0010-0000-1200-000001000000}" name="LogID"/>
    <tableColumn id="2" xr3:uid="{00000000-0010-0000-1200-000002000000}" name="TableName"/>
    <tableColumn id="3" xr3:uid="{00000000-0010-0000-1200-000003000000}" name="Action"/>
    <tableColumn id="4" xr3:uid="{00000000-0010-0000-1200-000004000000}" name="RecordID"/>
    <tableColumn id="5" xr3:uid="{00000000-0010-0000-1200-000005000000}" name="FieldChanged"/>
    <tableColumn id="6" xr3:uid="{00000000-0010-0000-1200-000006000000}" name="OldValue"/>
    <tableColumn id="7" xr3:uid="{00000000-0010-0000-1200-000007000000}" name="NewValue"/>
    <tableColumn id="8" xr3:uid="{00000000-0010-0000-1200-000008000000}" name="UserName"/>
    <tableColumn id="9" xr3:uid="{00000000-0010-0000-1200-000009000000}" name="Timestamp"/>
  </tableColumns>
  <tableStyleInfo name="TableStyleMedium15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mst_Employees" displayName="mst_Employees" ref="A1:H6">
  <autoFilter ref="A1:H6" xr:uid="{00000000-0009-0000-0100-000014000000}"/>
  <tableColumns count="8">
    <tableColumn id="1" xr3:uid="{00000000-0010-0000-1300-000001000000}" name="EmployeeID"/>
    <tableColumn id="2" xr3:uid="{00000000-0010-0000-1300-000002000000}" name="EmployeeName"/>
    <tableColumn id="3" xr3:uid="{00000000-0010-0000-1300-000003000000}" name="Position"/>
    <tableColumn id="4" xr3:uid="{00000000-0010-0000-1300-000004000000}" name="ContactNumber"/>
    <tableColumn id="5" xr3:uid="{00000000-0010-0000-1300-000005000000}" name="NRC"/>
    <tableColumn id="6" xr3:uid="{00000000-0010-0000-1300-000006000000}" name="DateHired"/>
    <tableColumn id="7" xr3:uid="{00000000-0010-0000-1300-000007000000}" name="SalaryZMW"/>
    <tableColumn id="8" xr3:uid="{00000000-0010-0000-1300-000008000000}" name="Status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reg_DailyRoutine" displayName="reg_DailyRoutine" ref="A1:N43">
  <autoFilter ref="A1:N43" xr:uid="{00000000-0009-0000-0100-000015000000}"/>
  <tableColumns count="14">
    <tableColumn id="1" xr3:uid="{00000000-0010-0000-1400-000001000000}" name="EntryID"/>
    <tableColumn id="2" xr3:uid="{00000000-0010-0000-1400-000002000000}" name="FlockID"/>
    <tableColumn id="3" xr3:uid="{00000000-0010-0000-1400-000003000000}" name="Date"/>
    <tableColumn id="4" xr3:uid="{00000000-0010-0000-1400-000004000000}" name="TemperatureC"/>
    <tableColumn id="5" xr3:uid="{00000000-0010-0000-1400-000005000000}" name="HumidityPct"/>
    <tableColumn id="6" xr3:uid="{00000000-0010-0000-1400-000006000000}" name="WaterAvailable"/>
    <tableColumn id="7" xr3:uid="{00000000-0010-0000-1400-000007000000}" name="FeedAvailable"/>
    <tableColumn id="8" xr3:uid="{00000000-0010-0000-1400-000008000000}" name="DrinkersCleaned"/>
    <tableColumn id="9" xr3:uid="{00000000-0010-0000-1400-000009000000}" name="LitterCondition"/>
    <tableColumn id="10" xr3:uid="{00000000-0010-0000-1400-00000A000000}" name="Ventilation"/>
    <tableColumn id="11" xr3:uid="{00000000-0010-0000-1400-00000B000000}" name="SickBirdsObserved"/>
    <tableColumn id="12" xr3:uid="{00000000-0010-0000-1400-00000C000000}" name="EmployeeID"/>
    <tableColumn id="13" xr3:uid="{00000000-0010-0000-1400-00000D000000}" name="Notes"/>
    <tableColumn id="14" xr3:uid="{00000000-0010-0000-1400-00000E000000}" name="IsActive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reg_FeedPurchases" displayName="reg_FeedPurchases" ref="A1:M7">
  <autoFilter ref="A1:M7" xr:uid="{00000000-0009-0000-0100-000016000000}"/>
  <tableColumns count="13">
    <tableColumn id="1" xr3:uid="{00000000-0010-0000-1500-000001000000}" name="EntryID"/>
    <tableColumn id="2" xr3:uid="{00000000-0010-0000-1500-000002000000}" name="Date"/>
    <tableColumn id="3" xr3:uid="{00000000-0010-0000-1500-000003000000}" name="SupplierID"/>
    <tableColumn id="4" xr3:uid="{00000000-0010-0000-1500-000004000000}" name="FeedID"/>
    <tableColumn id="5" xr3:uid="{00000000-0010-0000-1500-000005000000}" name="NumberOfBags"/>
    <tableColumn id="6" xr3:uid="{00000000-0010-0000-1500-000006000000}" name="BagWeightKg"/>
    <tableColumn id="7" xr3:uid="{00000000-0010-0000-1500-000007000000}" name="UnitCostPerBag_ZMW"/>
    <tableColumn id="8" xr3:uid="{00000000-0010-0000-1500-000008000000}" name="TotalWeightKg"/>
    <tableColumn id="9" xr3:uid="{00000000-0010-0000-1500-000009000000}" name="TotalCost_ZMW"/>
    <tableColumn id="10" xr3:uid="{00000000-0010-0000-1500-00000A000000}" name="InvoiceNo"/>
    <tableColumn id="11" xr3:uid="{00000000-0010-0000-1500-00000B000000}" name="PaymentMethod"/>
    <tableColumn id="12" xr3:uid="{00000000-0010-0000-1500-00000C000000}" name="EnteredBy"/>
    <tableColumn id="13" xr3:uid="{00000000-0010-0000-1500-00000D000000}" name="IsActive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calc_FeedStockSummary" displayName="calc_FeedStockSummary" ref="A1:H4">
  <autoFilter ref="A1:H4" xr:uid="{00000000-0009-0000-0100-000017000000}"/>
  <tableColumns count="8">
    <tableColumn id="1" xr3:uid="{00000000-0010-0000-1600-000001000000}" name="FeedID"/>
    <tableColumn id="2" xr3:uid="{00000000-0010-0000-1600-000002000000}" name="FeedType"/>
    <tableColumn id="3" xr3:uid="{00000000-0010-0000-1600-000003000000}" name="OpeningStockKg"/>
    <tableColumn id="4" xr3:uid="{00000000-0010-0000-1600-000004000000}" name="PurchasedKg"/>
    <tableColumn id="5" xr3:uid="{00000000-0010-0000-1600-000005000000}" name="UsedKg"/>
    <tableColumn id="6" xr3:uid="{00000000-0010-0000-1600-000006000000}" name="BalanceKg"/>
    <tableColumn id="7" xr3:uid="{00000000-0010-0000-1600-000007000000}" name="MinStockKg"/>
    <tableColumn id="8" xr3:uid="{00000000-0010-0000-1600-000008000000}" name="Alert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reg_MedicineStock" displayName="reg_MedicineStock" ref="A1:N7">
  <autoFilter ref="A1:N7" xr:uid="{00000000-0009-0000-0100-000018000000}"/>
  <tableColumns count="14">
    <tableColumn id="1" xr3:uid="{00000000-0010-0000-1700-000001000000}" name="EntryID"/>
    <tableColumn id="2" xr3:uid="{00000000-0010-0000-1700-000002000000}" name="FlockID"/>
    <tableColumn id="3" xr3:uid="{00000000-0010-0000-1700-000003000000}" name="ProductID"/>
    <tableColumn id="4" xr3:uid="{00000000-0010-0000-1700-000004000000}" name="SupplierID"/>
    <tableColumn id="5" xr3:uid="{00000000-0010-0000-1700-000005000000}" name="LotNumber"/>
    <tableColumn id="6" xr3:uid="{00000000-0010-0000-1700-000006000000}" name="ExpiryDate"/>
    <tableColumn id="7" xr3:uid="{00000000-0010-0000-1700-000007000000}" name="QuantityReceived"/>
    <tableColumn id="8" xr3:uid="{00000000-0010-0000-1700-000008000000}" name="QuantityUsed"/>
    <tableColumn id="9" xr3:uid="{00000000-0010-0000-1700-000009000000}" name="Balance"/>
    <tableColumn id="10" xr3:uid="{00000000-0010-0000-1700-00000A000000}" name="UnitCost_ZMW"/>
    <tableColumn id="11" xr3:uid="{00000000-0010-0000-1700-00000B000000}" name="TotalCost_ZMW"/>
    <tableColumn id="12" xr3:uid="{00000000-0010-0000-1700-00000C000000}" name="Status"/>
    <tableColumn id="13" xr3:uid="{00000000-0010-0000-1700-00000D000000}" name="EnteredBy"/>
    <tableColumn id="14" xr3:uid="{00000000-0010-0000-1700-00000E000000}" name="IsActiv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3864"/>
  </sheetPr>
  <dimension ref="A1:N50"/>
  <sheetViews>
    <sheetView showGridLines="0" workbookViewId="0">
      <selection sqref="A1:N2"/>
    </sheetView>
  </sheetViews>
  <sheetFormatPr defaultRowHeight="14.4" x14ac:dyDescent="0.3"/>
  <cols>
    <col min="1" max="1" width="23.109375" customWidth="1"/>
    <col min="2" max="2" width="19.5546875" customWidth="1"/>
    <col min="3" max="3" width="12" customWidth="1"/>
    <col min="4" max="4" width="10" customWidth="1"/>
    <col min="5" max="8" width="12" customWidth="1"/>
    <col min="9" max="9" width="15" customWidth="1"/>
    <col min="10" max="10" width="14" customWidth="1"/>
    <col min="11" max="11" width="15" customWidth="1"/>
    <col min="12" max="14" width="13" customWidth="1"/>
  </cols>
  <sheetData>
    <row r="1" spans="1:14" x14ac:dyDescent="0.3">
      <c r="A1" s="53" t="s">
        <v>0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</row>
    <row r="2" spans="1:14" x14ac:dyDescent="0.3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</row>
    <row r="3" spans="1:14" ht="18" customHeight="1" x14ac:dyDescent="0.3">
      <c r="A3" s="55" t="str">
        <f ca="1">"Live KPI overview across all flocks  |  Report generated: "&amp;TEXT(TODAY(),"dd mmm yyyy")</f>
        <v>Live KPI overview across all flocks  |  Report generated: 12 Aug 2026</v>
      </c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</row>
    <row r="5" spans="1:14" ht="30" customHeight="1" x14ac:dyDescent="0.3">
      <c r="A5" s="48" t="s">
        <v>1</v>
      </c>
      <c r="B5" s="46"/>
      <c r="C5" s="48" t="s">
        <v>2</v>
      </c>
      <c r="D5" s="46"/>
      <c r="E5" s="48" t="s">
        <v>3</v>
      </c>
      <c r="F5" s="46"/>
      <c r="G5" s="48" t="s">
        <v>4</v>
      </c>
      <c r="H5" s="46"/>
      <c r="I5" s="48" t="s">
        <v>5</v>
      </c>
      <c r="J5" s="46"/>
      <c r="K5" s="48" t="s">
        <v>6</v>
      </c>
      <c r="L5" s="46"/>
    </row>
    <row r="6" spans="1:14" ht="34.049999999999997" customHeight="1" x14ac:dyDescent="0.3">
      <c r="A6" s="49">
        <f>IFERROR(SUMIFS(calc_KPI_Engine[CurrentBirds],calc_KPI_Engine[Status],"Active")/SUMIFS(calc_KPI_Engine[InitialBirds],calc_KPI_Engine[Status],"Active"),0)</f>
        <v>0.995</v>
      </c>
      <c r="B6" s="46"/>
      <c r="C6" s="51">
        <f>IFERROR(AVERAGEIFS(calc_KPI_Engine[FCR],calc_KPI_Engine[Status],"Active"),0)</f>
        <v>1.2074428344408006</v>
      </c>
      <c r="D6" s="46"/>
      <c r="E6" s="56">
        <f ca="1">IFERROR(AVERAGEIFS(calc_KPI_Engine[ADG_g],calc_KPI_Engine[Status],"Active"),0)</f>
        <v>31.645021645021643</v>
      </c>
      <c r="F6" s="46"/>
      <c r="G6" s="50">
        <f>1-IFERROR(SUMIFS(calc_KPI_Engine[CurrentBirds],calc_KPI_Engine[Status],"Active")/SUMIFS(calc_KPI_Engine[InitialBirds],calc_KPI_Engine[Status],"Active"),0)</f>
        <v>5.0000000000000044E-3</v>
      </c>
      <c r="H6" s="46"/>
      <c r="I6" s="52">
        <f>IFERROR(AVERAGEIFS(calc_KPI_Engine[CostPerBird_ZMW],calc_KPI_Engine[Status],"Active"),0)</f>
        <v>24.179766666666666</v>
      </c>
      <c r="J6" s="46"/>
      <c r="K6" s="52">
        <f>IFERROR(AVERAGEIFS(calc_KPI_Engine[CostPerKg_ZMW],calc_KPI_Engine[Status],"Active"),0)</f>
        <v>26.434133520941401</v>
      </c>
      <c r="L6" s="46"/>
    </row>
    <row r="7" spans="1:14" x14ac:dyDescent="0.3">
      <c r="A7" s="47" t="str">
        <f>"Target: "&amp;TEXT(INDEX(mst_Settings[Value],MATCH("TargetLivabilityPct",mst_Settings[Parameter],0)),"0.0%")</f>
        <v>Target: 95.0%</v>
      </c>
      <c r="B7" s="46"/>
      <c r="C7" s="47" t="str">
        <f>"Target: "&amp;TEXT(INDEX(mst_Settings[Value],MATCH("TargetFCR",mst_Settings[Parameter],0)),"0.00")</f>
        <v>Target: 1.70</v>
      </c>
      <c r="D7" s="46"/>
      <c r="E7" s="47"/>
      <c r="F7" s="46"/>
      <c r="G7" s="47" t="str">
        <f>"Target: "&amp;TEXT(INDEX(mst_Settings[Value],MATCH("MortalityAlertThresholdPct",mst_Settings[Parameter],0)),"0.00%")</f>
        <v>Target: 2.00%</v>
      </c>
      <c r="H7" s="46"/>
      <c r="I7" s="47"/>
      <c r="J7" s="46"/>
      <c r="K7" s="47"/>
      <c r="L7" s="46"/>
    </row>
    <row r="9" spans="1:14" ht="15.6" x14ac:dyDescent="0.3">
      <c r="A9" s="45" t="s">
        <v>7</v>
      </c>
      <c r="B9" s="46"/>
      <c r="C9" s="46"/>
      <c r="D9" s="46"/>
      <c r="E9" s="46"/>
      <c r="F9" s="46"/>
    </row>
    <row r="10" spans="1:14" ht="25.95" customHeight="1" x14ac:dyDescent="0.3">
      <c r="A10" s="15" t="s">
        <v>8</v>
      </c>
      <c r="B10" s="15" t="s">
        <v>9</v>
      </c>
      <c r="C10" s="15" t="s">
        <v>10</v>
      </c>
      <c r="D10" s="15" t="s">
        <v>11</v>
      </c>
      <c r="E10" s="15" t="s">
        <v>12</v>
      </c>
      <c r="F10" s="15" t="s">
        <v>13</v>
      </c>
      <c r="G10" s="15" t="s">
        <v>14</v>
      </c>
      <c r="H10" s="15" t="s">
        <v>15</v>
      </c>
      <c r="I10" s="15" t="s">
        <v>16</v>
      </c>
      <c r="J10" s="15" t="s">
        <v>17</v>
      </c>
      <c r="K10" s="15" t="s">
        <v>18</v>
      </c>
    </row>
    <row r="11" spans="1:14" x14ac:dyDescent="0.3">
      <c r="A11" s="2" t="str">
        <f>'calc_KPI_Engine'!A2</f>
        <v>FLK-001</v>
      </c>
      <c r="B11" s="2" t="str">
        <f>'calc_KPI_Engine'!B2</f>
        <v>H-01</v>
      </c>
      <c r="C11" s="2" t="str">
        <f>'calc_KPI_Engine'!C2</f>
        <v>Ross 308</v>
      </c>
      <c r="D11" s="2" t="str">
        <f>'calc_KPI_Engine'!E2</f>
        <v>Closed</v>
      </c>
      <c r="E11" s="2">
        <f ca="1">'calc_KPI_Engine'!F2</f>
        <v>84</v>
      </c>
      <c r="F11" s="12">
        <f>'calc_KPI_Engine'!J2</f>
        <v>0.99419999999999997</v>
      </c>
      <c r="G11" s="13">
        <f>'calc_KPI_Engine'!O2</f>
        <v>1.2572922953128143</v>
      </c>
      <c r="H11" s="9">
        <f ca="1">'calc_KPI_Engine'!P2</f>
        <v>28.571428571428573</v>
      </c>
      <c r="I11" s="3">
        <f>'calc_KPI_Engine'!U2</f>
        <v>40.478000000000002</v>
      </c>
      <c r="J11" s="3">
        <f>'calc_KPI_Engine'!V2</f>
        <v>16.964225843224032</v>
      </c>
      <c r="K11" s="3">
        <f>'calc_KPI_Engine'!W2</f>
        <v>265022.5</v>
      </c>
    </row>
    <row r="12" spans="1:14" x14ac:dyDescent="0.3">
      <c r="A12" s="16" t="str">
        <f>'calc_KPI_Engine'!A3</f>
        <v>FLK-002</v>
      </c>
      <c r="B12" s="16" t="str">
        <f>'calc_KPI_Engine'!B3</f>
        <v>H-02</v>
      </c>
      <c r="C12" s="16" t="str">
        <f>'calc_KPI_Engine'!C3</f>
        <v>Cobb 500</v>
      </c>
      <c r="D12" s="16" t="str">
        <f>'calc_KPI_Engine'!E3</f>
        <v>Active</v>
      </c>
      <c r="E12" s="16">
        <f ca="1">'calc_KPI_Engine'!F3</f>
        <v>48</v>
      </c>
      <c r="F12" s="17">
        <f>'calc_KPI_Engine'!J3</f>
        <v>0.99339999999999995</v>
      </c>
      <c r="G12" s="18">
        <f>'calc_KPI_Engine'!O3</f>
        <v>1.5099657741091204</v>
      </c>
      <c r="H12" s="19">
        <f ca="1">'calc_KPI_Engine'!P3</f>
        <v>50</v>
      </c>
      <c r="I12" s="20">
        <f>'calc_KPI_Engine'!U3</f>
        <v>47.335599999999999</v>
      </c>
      <c r="J12" s="20">
        <f>'calc_KPI_Engine'!V3</f>
        <v>19.854204415811022</v>
      </c>
      <c r="K12" s="20">
        <f>'calc_KPI_Engine'!W3</f>
        <v>-236678</v>
      </c>
    </row>
    <row r="13" spans="1:14" x14ac:dyDescent="0.3">
      <c r="A13" s="2" t="str">
        <f>'calc_KPI_Engine'!A4</f>
        <v>FLK-003</v>
      </c>
      <c r="B13" s="2" t="str">
        <f>'calc_KPI_Engine'!B4</f>
        <v>H-03</v>
      </c>
      <c r="C13" s="2" t="str">
        <f>'calc_KPI_Engine'!C4</f>
        <v>Ross 308</v>
      </c>
      <c r="D13" s="2" t="str">
        <f>'calc_KPI_Engine'!E4</f>
        <v>Active</v>
      </c>
      <c r="E13" s="2">
        <f ca="1">'calc_KPI_Engine'!F4</f>
        <v>28</v>
      </c>
      <c r="F13" s="12">
        <f>'calc_KPI_Engine'!J4</f>
        <v>0.99450000000000005</v>
      </c>
      <c r="G13" s="13">
        <f>'calc_KPI_Engine'!O4</f>
        <v>1.4102564102564101</v>
      </c>
      <c r="H13" s="9">
        <f ca="1">'calc_KPI_Engine'!P4</f>
        <v>28.571428571428573</v>
      </c>
      <c r="I13" s="3">
        <f>'calc_KPI_Engine'!U4</f>
        <v>18.768699999999999</v>
      </c>
      <c r="J13" s="3">
        <f>'calc_KPI_Engine'!V4</f>
        <v>23.590623428858724</v>
      </c>
      <c r="K13" s="3">
        <f>'calc_KPI_Engine'!W4</f>
        <v>-75074.8</v>
      </c>
    </row>
    <row r="14" spans="1:14" x14ac:dyDescent="0.3">
      <c r="A14" s="16" t="str">
        <f>'calc_KPI_Engine'!A5</f>
        <v>FLK-004</v>
      </c>
      <c r="B14" s="16" t="str">
        <f>'calc_KPI_Engine'!B5</f>
        <v>H-01</v>
      </c>
      <c r="C14" s="16" t="str">
        <f>'calc_KPI_Engine'!C5</f>
        <v>Arbor Acres</v>
      </c>
      <c r="D14" s="16" t="str">
        <f>'calc_KPI_Engine'!E5</f>
        <v>Active</v>
      </c>
      <c r="E14" s="16">
        <f ca="1">'calc_KPI_Engine'!F5</f>
        <v>11</v>
      </c>
      <c r="F14" s="17">
        <f>'calc_KPI_Engine'!J5</f>
        <v>0.997</v>
      </c>
      <c r="G14" s="18">
        <f>'calc_KPI_Engine'!O5</f>
        <v>0.7021063189568707</v>
      </c>
      <c r="H14" s="19">
        <f ca="1">'calc_KPI_Engine'!P5</f>
        <v>16.363636363636363</v>
      </c>
      <c r="I14" s="20">
        <f>'calc_KPI_Engine'!U5</f>
        <v>6.4349999999999996</v>
      </c>
      <c r="J14" s="20">
        <f>'calc_KPI_Engine'!V5</f>
        <v>35.857572718154465</v>
      </c>
      <c r="K14" s="20">
        <f>'calc_KPI_Engine'!W5</f>
        <v>-32175</v>
      </c>
    </row>
    <row r="17" spans="1:6" ht="15.6" x14ac:dyDescent="0.3">
      <c r="A17" s="45" t="s">
        <v>19</v>
      </c>
      <c r="B17" s="46"/>
      <c r="C17" s="46"/>
      <c r="D17" s="46"/>
      <c r="E17" s="46"/>
      <c r="F17" s="46"/>
    </row>
    <row r="35" spans="1:6" ht="15.6" x14ac:dyDescent="0.3">
      <c r="A35" s="45" t="s">
        <v>20</v>
      </c>
      <c r="B35" s="46"/>
      <c r="C35" s="46"/>
      <c r="D35" s="46"/>
      <c r="E35" s="46"/>
      <c r="F35" s="46"/>
    </row>
    <row r="36" spans="1:6" x14ac:dyDescent="0.3">
      <c r="A36" s="21" t="s">
        <v>8</v>
      </c>
      <c r="B36" s="21" t="s">
        <v>21</v>
      </c>
    </row>
    <row r="37" spans="1:6" x14ac:dyDescent="0.3">
      <c r="A37" s="2" t="str">
        <f>'calc_KPI_Engine'!A2</f>
        <v>FLK-001</v>
      </c>
      <c r="B37" s="2" t="str">
        <f>IF('calc_KPI_Engine'!E2&lt;&gt;"Active","",IF('calc_KPI_Engine'!J2&lt;INDEX(mst_Settings[Value],MATCH("TargetLivabilityPct",mst_Settings[Parameter],0)),"Livability below target - investigate mortality",IF('calc_KPI_Engine'!O2&gt;INDEX(mst_Settings[Value],MATCH("TargetFCR",mst_Settings[Parameter],0)),"FCR above target - review feed efficiency","Within normal range")))</f>
        <v/>
      </c>
    </row>
    <row r="38" spans="1:6" x14ac:dyDescent="0.3">
      <c r="A38" s="2" t="str">
        <f>'calc_KPI_Engine'!A3</f>
        <v>FLK-002</v>
      </c>
      <c r="B38" s="2" t="str">
        <f>IF('calc_KPI_Engine'!E3&lt;&gt;"Active","",IF('calc_KPI_Engine'!J3&lt;INDEX(mst_Settings[Value],MATCH("TargetLivabilityPct",mst_Settings[Parameter],0)),"Livability below target - investigate mortality",IF('calc_KPI_Engine'!O3&gt;INDEX(mst_Settings[Value],MATCH("TargetFCR",mst_Settings[Parameter],0)),"FCR above target - review feed efficiency","Within normal range")))</f>
        <v>Within normal range</v>
      </c>
    </row>
    <row r="39" spans="1:6" x14ac:dyDescent="0.3">
      <c r="A39" s="2" t="str">
        <f>'calc_KPI_Engine'!A4</f>
        <v>FLK-003</v>
      </c>
      <c r="B39" s="2" t="str">
        <f>IF('calc_KPI_Engine'!E4&lt;&gt;"Active","",IF('calc_KPI_Engine'!J4&lt;INDEX(mst_Settings[Value],MATCH("TargetLivabilityPct",mst_Settings[Parameter],0)),"Livability below target - investigate mortality",IF('calc_KPI_Engine'!O4&gt;INDEX(mst_Settings[Value],MATCH("TargetFCR",mst_Settings[Parameter],0)),"FCR above target - review feed efficiency","Within normal range")))</f>
        <v>Within normal range</v>
      </c>
    </row>
    <row r="40" spans="1:6" x14ac:dyDescent="0.3">
      <c r="A40" s="2" t="str">
        <f>'calc_KPI_Engine'!A5</f>
        <v>FLK-004</v>
      </c>
      <c r="B40" s="2" t="str">
        <f>IF('calc_KPI_Engine'!E5&lt;&gt;"Active","",IF('calc_KPI_Engine'!J5&lt;INDEX(mst_Settings[Value],MATCH("TargetLivabilityPct",mst_Settings[Parameter],0)),"Livability below target - investigate mortality",IF('calc_KPI_Engine'!O5&gt;INDEX(mst_Settings[Value],MATCH("TargetFCR",mst_Settings[Parameter],0)),"FCR above target - review feed efficiency","Within normal range")))</f>
        <v>Within normal range</v>
      </c>
    </row>
    <row r="42" spans="1:6" ht="15.6" x14ac:dyDescent="0.3">
      <c r="A42" s="45" t="s">
        <v>22</v>
      </c>
      <c r="B42" s="46"/>
      <c r="C42" s="46"/>
      <c r="D42" s="46"/>
      <c r="E42" s="46"/>
      <c r="F42" s="46"/>
    </row>
    <row r="43" spans="1:6" x14ac:dyDescent="0.3">
      <c r="A43" s="21" t="s">
        <v>23</v>
      </c>
      <c r="B43" s="21" t="s">
        <v>11</v>
      </c>
    </row>
    <row r="44" spans="1:6" x14ac:dyDescent="0.3">
      <c r="A44" s="2" t="str">
        <f>'calc_FeedStockSummary'!B2&amp;" feed stock"</f>
        <v>Starter Mash feed stock</v>
      </c>
      <c r="B44" s="2" t="str">
        <f>'calc_FeedStockSummary'!H2&amp;" ("&amp;TEXT('calc_FeedStockSummary'!F2,"#,##0")&amp;" kg balance)"</f>
        <v>OK (688 kg balance)</v>
      </c>
    </row>
    <row r="45" spans="1:6" x14ac:dyDescent="0.3">
      <c r="A45" s="2" t="str">
        <f>'calc_FeedStockSummary'!B3&amp;" feed stock"</f>
        <v>Grower Mash feed stock</v>
      </c>
      <c r="B45" s="2" t="str">
        <f>'calc_FeedStockSummary'!H3&amp;" ("&amp;TEXT('calc_FeedStockSummary'!F3,"#,##0")&amp;" kg balance)"</f>
        <v>OK (2,274 kg balance)</v>
      </c>
    </row>
    <row r="46" spans="1:6" x14ac:dyDescent="0.3">
      <c r="A46" s="2" t="str">
        <f>'calc_FeedStockSummary'!B4&amp;" feed stock"</f>
        <v>Finisher Mash feed stock</v>
      </c>
      <c r="B46" s="2" t="str">
        <f>'calc_FeedStockSummary'!H4&amp;" ("&amp;TEXT('calc_FeedStockSummary'!F4,"#,##0")&amp;" kg balance)"</f>
        <v>OK (2,770 kg balance)</v>
      </c>
    </row>
    <row r="47" spans="1:6" x14ac:dyDescent="0.3">
      <c r="A47" s="2" t="str">
        <f>IF('reg_MedicineStock'!A2="","",'reg_MedicineStock'!E2&amp;" ("&amp;'reg_MedicineStock'!B2&amp;")")</f>
        <v>MRK-2612 (FLK-001)</v>
      </c>
      <c r="B47" s="2" t="str">
        <f ca="1">IF('reg_MedicineStock'!A2="","",'reg_MedicineStock'!L2)</f>
        <v>OK</v>
      </c>
    </row>
    <row r="48" spans="1:6" x14ac:dyDescent="0.3">
      <c r="A48" s="2" t="str">
        <f>IF('reg_MedicineStock'!A3="","",'reg_MedicineStock'!E3&amp;" ("&amp;'reg_MedicineStock'!B3&amp;")")</f>
        <v>NCD-2614 (FLK-001)</v>
      </c>
      <c r="B48" s="2" t="str">
        <f ca="1">IF('reg_MedicineStock'!A3="","",'reg_MedicineStock'!L3)</f>
        <v>OK</v>
      </c>
    </row>
    <row r="49" spans="1:2" x14ac:dyDescent="0.3">
      <c r="A49" s="2" t="str">
        <f>IF('reg_MedicineStock'!A4="","",'reg_MedicineStock'!E4&amp;" ("&amp;'reg_MedicineStock'!B4&amp;")")</f>
        <v>AMX-0091 (FLK-002)</v>
      </c>
      <c r="B49" s="2" t="str">
        <f ca="1">IF('reg_MedicineStock'!A4="","",'reg_MedicineStock'!L4)</f>
        <v>OK</v>
      </c>
    </row>
    <row r="50" spans="1:2" x14ac:dyDescent="0.3">
      <c r="A50" s="2" t="str">
        <f>IF('reg_MedicineStock'!A5="","",'reg_MedicineStock'!E5&amp;" ("&amp;'reg_MedicineStock'!B5&amp;")")</f>
        <v>MRK-2701 (FLK-002)</v>
      </c>
      <c r="B50" s="2" t="str">
        <f ca="1">IF('reg_MedicineStock'!A5="","",'reg_MedicineStock'!L5)</f>
        <v>OK</v>
      </c>
    </row>
  </sheetData>
  <sheetProtection algorithmName="SHA-512" hashValue="XtMX6xT6UBvjvdk3MQO7f6tRINdE9F/6ANjR3bmoIEbQOuUOkK09j5jCJSOs8RkP5+LZA1Z+RtDSPGpKP97LCg==" saltValue="aPFwzfw8hsC26svnDuITjg==" spinCount="100000" sheet="1" objects="1" scenarios="1"/>
  <dataConsolidate/>
  <mergeCells count="24">
    <mergeCell ref="A1:N2"/>
    <mergeCell ref="K7:L7"/>
    <mergeCell ref="C7:D7"/>
    <mergeCell ref="E7:F7"/>
    <mergeCell ref="K6:L6"/>
    <mergeCell ref="A3:N3"/>
    <mergeCell ref="E6:F6"/>
    <mergeCell ref="K5:L5"/>
    <mergeCell ref="A5:B5"/>
    <mergeCell ref="G5:H5"/>
    <mergeCell ref="I5:J5"/>
    <mergeCell ref="A6:B6"/>
    <mergeCell ref="G6:H6"/>
    <mergeCell ref="C6:D6"/>
    <mergeCell ref="I6:J6"/>
    <mergeCell ref="C5:D5"/>
    <mergeCell ref="E5:F5"/>
    <mergeCell ref="A42:F42"/>
    <mergeCell ref="A7:B7"/>
    <mergeCell ref="G7:H7"/>
    <mergeCell ref="I7:J7"/>
    <mergeCell ref="A17:F17"/>
    <mergeCell ref="A35:F35"/>
    <mergeCell ref="A9:F9"/>
  </mergeCells>
  <conditionalFormatting sqref="B37:B40">
    <cfRule type="expression" dxfId="4" priority="4">
      <formula>AND(B37&lt;&gt;"Within normal range",B37&lt;&gt;"")</formula>
    </cfRule>
  </conditionalFormatting>
  <conditionalFormatting sqref="B44:B50">
    <cfRule type="expression" dxfId="3" priority="5">
      <formula>OR(ISNUMBER(SEARCH("LOW STOCK",B44)),ISNUMBER(SEARCH("EXPIR",B44)))</formula>
    </cfRule>
  </conditionalFormatting>
  <conditionalFormatting sqref="F11:F14">
    <cfRule type="cellIs" dxfId="2" priority="2" operator="lessThan">
      <formula>0.93</formula>
    </cfRule>
  </conditionalFormatting>
  <conditionalFormatting sqref="G11:G14">
    <cfRule type="cellIs" dxfId="1" priority="1" operator="greaterThan">
      <formula>1.75</formula>
    </cfRule>
  </conditionalFormatting>
  <conditionalFormatting sqref="K11:K14">
    <cfRule type="cellIs" dxfId="0" priority="3" operator="lessThan">
      <formula>0</formula>
    </cfRule>
  </conditionalFormatting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3864"/>
  </sheetPr>
  <dimension ref="A1:E34"/>
  <sheetViews>
    <sheetView showGridLines="0" workbookViewId="0">
      <selection activeCell="A7" sqref="A7"/>
    </sheetView>
  </sheetViews>
  <sheetFormatPr defaultRowHeight="14.4" x14ac:dyDescent="0.3"/>
  <cols>
    <col min="1" max="1" width="26" customWidth="1"/>
    <col min="2" max="2" width="22" customWidth="1"/>
    <col min="3" max="3" width="55" customWidth="1"/>
  </cols>
  <sheetData>
    <row r="1" spans="1:5" x14ac:dyDescent="0.3">
      <c r="A1" s="53" t="s">
        <v>24</v>
      </c>
      <c r="B1" s="54"/>
      <c r="C1" s="54"/>
      <c r="D1" s="54"/>
    </row>
    <row r="2" spans="1:5" x14ac:dyDescent="0.3">
      <c r="A2" s="54"/>
      <c r="B2" s="54"/>
      <c r="C2" s="54"/>
      <c r="D2" s="54"/>
    </row>
    <row r="4" spans="1:5" x14ac:dyDescent="0.3">
      <c r="A4" s="22" t="s">
        <v>25</v>
      </c>
      <c r="B4" s="22" t="s">
        <v>26</v>
      </c>
      <c r="C4" s="22" t="s">
        <v>27</v>
      </c>
    </row>
    <row r="5" spans="1:5" x14ac:dyDescent="0.3">
      <c r="A5" s="43" t="s">
        <v>28</v>
      </c>
      <c r="B5" s="2" t="s">
        <v>28</v>
      </c>
      <c r="C5" s="2" t="s">
        <v>29</v>
      </c>
    </row>
    <row r="6" spans="1:5" x14ac:dyDescent="0.3">
      <c r="A6" s="44" t="s">
        <v>30</v>
      </c>
      <c r="B6" s="16" t="s">
        <v>31</v>
      </c>
      <c r="C6" s="16" t="s">
        <v>32</v>
      </c>
    </row>
    <row r="7" spans="1:5" x14ac:dyDescent="0.3">
      <c r="A7" s="43" t="s">
        <v>33</v>
      </c>
      <c r="B7" s="2" t="s">
        <v>34</v>
      </c>
      <c r="C7" s="2" t="s">
        <v>35</v>
      </c>
    </row>
    <row r="8" spans="1:5" x14ac:dyDescent="0.3">
      <c r="A8" s="44" t="s">
        <v>36</v>
      </c>
      <c r="B8" s="16" t="s">
        <v>37</v>
      </c>
      <c r="C8" s="16" t="s">
        <v>38</v>
      </c>
    </row>
    <row r="9" spans="1:5" x14ac:dyDescent="0.3">
      <c r="A9" s="43" t="s">
        <v>39</v>
      </c>
      <c r="B9" s="2" t="s">
        <v>40</v>
      </c>
      <c r="C9" s="2" t="s">
        <v>41</v>
      </c>
    </row>
    <row r="10" spans="1:5" x14ac:dyDescent="0.3">
      <c r="A10" s="44" t="s">
        <v>42</v>
      </c>
      <c r="B10" s="16" t="s">
        <v>43</v>
      </c>
      <c r="C10" s="16" t="s">
        <v>44</v>
      </c>
      <c r="E10" s="42"/>
    </row>
    <row r="11" spans="1:5" x14ac:dyDescent="0.3">
      <c r="A11" s="43" t="s">
        <v>45</v>
      </c>
      <c r="B11" s="2" t="s">
        <v>46</v>
      </c>
      <c r="C11" s="2" t="s">
        <v>47</v>
      </c>
    </row>
    <row r="12" spans="1:5" x14ac:dyDescent="0.3">
      <c r="A12" s="44" t="s">
        <v>48</v>
      </c>
      <c r="B12" s="16" t="s">
        <v>49</v>
      </c>
      <c r="C12" s="16" t="s">
        <v>50</v>
      </c>
    </row>
    <row r="13" spans="1:5" x14ac:dyDescent="0.3">
      <c r="A13" s="43" t="s">
        <v>51</v>
      </c>
      <c r="B13" s="2" t="s">
        <v>52</v>
      </c>
      <c r="C13" s="2" t="s">
        <v>53</v>
      </c>
    </row>
    <row r="14" spans="1:5" x14ac:dyDescent="0.3">
      <c r="A14" s="44" t="s">
        <v>54</v>
      </c>
      <c r="B14" s="16" t="s">
        <v>55</v>
      </c>
      <c r="C14" s="16" t="s">
        <v>56</v>
      </c>
    </row>
    <row r="15" spans="1:5" x14ac:dyDescent="0.3">
      <c r="A15" s="43" t="s">
        <v>57</v>
      </c>
      <c r="B15" s="2" t="s">
        <v>58</v>
      </c>
      <c r="C15" s="2" t="s">
        <v>59</v>
      </c>
    </row>
    <row r="16" spans="1:5" x14ac:dyDescent="0.3">
      <c r="A16" s="44" t="s">
        <v>60</v>
      </c>
      <c r="B16" s="16" t="s">
        <v>61</v>
      </c>
      <c r="C16" s="16" t="s">
        <v>62</v>
      </c>
    </row>
    <row r="17" spans="1:4" x14ac:dyDescent="0.3">
      <c r="A17" s="43" t="s">
        <v>63</v>
      </c>
      <c r="B17" s="2" t="s">
        <v>64</v>
      </c>
      <c r="C17" s="2" t="s">
        <v>65</v>
      </c>
    </row>
    <row r="18" spans="1:4" x14ac:dyDescent="0.3">
      <c r="A18" s="44" t="s">
        <v>66</v>
      </c>
      <c r="B18" s="16" t="s">
        <v>67</v>
      </c>
      <c r="C18" s="16" t="s">
        <v>68</v>
      </c>
    </row>
    <row r="19" spans="1:4" x14ac:dyDescent="0.3">
      <c r="A19" s="43" t="s">
        <v>69</v>
      </c>
      <c r="B19" s="2" t="s">
        <v>70</v>
      </c>
      <c r="C19" s="2" t="s">
        <v>71</v>
      </c>
    </row>
    <row r="20" spans="1:4" x14ac:dyDescent="0.3">
      <c r="A20" s="44" t="s">
        <v>72</v>
      </c>
      <c r="B20" s="16" t="s">
        <v>73</v>
      </c>
      <c r="C20" s="16" t="s">
        <v>74</v>
      </c>
    </row>
    <row r="21" spans="1:4" x14ac:dyDescent="0.3">
      <c r="A21" s="43" t="s">
        <v>75</v>
      </c>
      <c r="B21" s="2" t="s">
        <v>76</v>
      </c>
      <c r="C21" s="2" t="s">
        <v>77</v>
      </c>
    </row>
    <row r="22" spans="1:4" x14ac:dyDescent="0.3">
      <c r="A22" s="44" t="s">
        <v>78</v>
      </c>
      <c r="B22" s="16" t="s">
        <v>79</v>
      </c>
      <c r="C22" s="16" t="s">
        <v>80</v>
      </c>
    </row>
    <row r="23" spans="1:4" x14ac:dyDescent="0.3">
      <c r="A23" s="43" t="s">
        <v>81</v>
      </c>
      <c r="B23" s="2" t="s">
        <v>82</v>
      </c>
      <c r="C23" s="2" t="s">
        <v>83</v>
      </c>
    </row>
    <row r="25" spans="1:4" x14ac:dyDescent="0.3">
      <c r="A25" s="57" t="s">
        <v>84</v>
      </c>
      <c r="B25" s="46"/>
      <c r="C25" s="46"/>
      <c r="D25" s="46"/>
    </row>
    <row r="26" spans="1:4" x14ac:dyDescent="0.3">
      <c r="A26" s="57" t="s">
        <v>85</v>
      </c>
      <c r="B26" s="46"/>
      <c r="C26" s="46"/>
      <c r="D26" s="46"/>
    </row>
    <row r="27" spans="1:4" x14ac:dyDescent="0.3">
      <c r="A27" s="41" t="s">
        <v>86</v>
      </c>
    </row>
    <row r="28" spans="1:4" x14ac:dyDescent="0.3">
      <c r="A28" s="23" t="s">
        <v>87</v>
      </c>
      <c r="B28" s="2" t="s">
        <v>88</v>
      </c>
      <c r="C28" s="2" t="s">
        <v>89</v>
      </c>
    </row>
    <row r="29" spans="1:4" x14ac:dyDescent="0.3">
      <c r="A29" s="23" t="s">
        <v>90</v>
      </c>
      <c r="B29" s="2" t="s">
        <v>91</v>
      </c>
      <c r="C29" s="2" t="s">
        <v>92</v>
      </c>
    </row>
    <row r="30" spans="1:4" x14ac:dyDescent="0.3">
      <c r="A30" s="23" t="s">
        <v>93</v>
      </c>
      <c r="B30" s="2" t="s">
        <v>94</v>
      </c>
      <c r="C30" s="2" t="s">
        <v>95</v>
      </c>
    </row>
    <row r="31" spans="1:4" x14ac:dyDescent="0.3">
      <c r="A31" s="23" t="s">
        <v>96</v>
      </c>
      <c r="B31" s="2" t="s">
        <v>97</v>
      </c>
      <c r="C31" s="2" t="s">
        <v>98</v>
      </c>
    </row>
    <row r="32" spans="1:4" x14ac:dyDescent="0.3">
      <c r="A32" s="23" t="s">
        <v>99</v>
      </c>
      <c r="B32" s="2" t="s">
        <v>100</v>
      </c>
      <c r="C32" s="2" t="s">
        <v>101</v>
      </c>
    </row>
    <row r="33" spans="1:3" x14ac:dyDescent="0.3">
      <c r="A33" s="23" t="s">
        <v>102</v>
      </c>
      <c r="B33" s="2" t="s">
        <v>103</v>
      </c>
      <c r="C33" s="2" t="s">
        <v>104</v>
      </c>
    </row>
    <row r="34" spans="1:3" x14ac:dyDescent="0.3">
      <c r="A34" s="23" t="s">
        <v>105</v>
      </c>
      <c r="B34" s="2" t="s">
        <v>106</v>
      </c>
      <c r="C34" s="2" t="s">
        <v>107</v>
      </c>
    </row>
  </sheetData>
  <sheetProtection algorithmName="SHA-512" hashValue="XEfi4Ltr3rY4AJfpDSw/ERpUxqtZByzrdc3swElQ9SvJXP5bOg5hQy8weF/sqkQbtRC/esjlMYd/Kr1viZ4yfA==" saltValue="Xl7HKS+MDdXyai6eM9yY4A==" spinCount="100000" sheet="1" objects="1" scenarios="1"/>
  <mergeCells count="3">
    <mergeCell ref="A1:D2"/>
    <mergeCell ref="A26:D26"/>
    <mergeCell ref="A25:D25"/>
  </mergeCells>
  <hyperlinks>
    <hyperlink ref="A5" location="'Dashboard'!A1" display="Dashboard" xr:uid="{00000000-0004-0000-0100-000000000000}"/>
    <hyperlink ref="A6" location="'reg_Flocks'!A1" display="New Flock Setup" xr:uid="{00000000-0004-0000-0100-000001000000}"/>
    <hyperlink ref="A7" location="'reg_DailyMortality'!A1" display="Daily Mortality Entry" xr:uid="{00000000-0004-0000-0100-000002000000}"/>
    <hyperlink ref="A8" location="'reg_FeedConsumption'!A1" display="Feed Consumption Entry" xr:uid="{00000000-0004-0000-0100-000003000000}"/>
    <hyperlink ref="A9" location="'reg_WeeklyWeights'!A1" display="Weekly Weight Sampling" xr:uid="{00000000-0004-0000-0100-000004000000}"/>
    <hyperlink ref="A10" location="'reg_Vaccination_Health'!A1" display="Vaccination &amp; Health Entry" xr:uid="{00000000-0004-0000-0100-000005000000}"/>
    <hyperlink ref="A11" location="'reg_Sales_Dispatch'!A1" display="Sales &amp; Dispatch Entry" xr:uid="{00000000-0004-0000-0100-000006000000}"/>
    <hyperlink ref="A12" location="'reg_Expenses'!A1" display="Expense Entry" xr:uid="{00000000-0004-0000-0100-000007000000}"/>
    <hyperlink ref="A13" location="'reg_EnvironmentReadings'!A1" display="Environment Readings" xr:uid="{00000000-0004-0000-0100-000008000000}"/>
    <hyperlink ref="A14" location="'rpt_FlockPerformance'!A1" display="Flock Performance Report" xr:uid="{00000000-0004-0000-0100-000009000000}"/>
    <hyperlink ref="A15" location="'rpt_FinancialSummary'!A1" display="Financial Summary Report" xr:uid="{00000000-0004-0000-0100-00000A000000}"/>
    <hyperlink ref="A16" location="'rpt_MortalityTrend'!A1" display="Mortality &amp; Health Report" xr:uid="{00000000-0004-0000-0100-00000B000000}"/>
    <hyperlink ref="A17" location="'mst_Houses'!A1" display="Master Data - Houses" xr:uid="{00000000-0004-0000-0100-00000C000000}"/>
    <hyperlink ref="A18" location="'mst_Breeds'!A1" display="Master Data - Breeds" xr:uid="{00000000-0004-0000-0100-00000D000000}"/>
    <hyperlink ref="A19" location="'mst_FeedTypes'!A1" display="Master Data - Feed Types" xr:uid="{00000000-0004-0000-0100-00000E000000}"/>
    <hyperlink ref="A20" location="'mst_Suppliers'!A1" display="Master Data - Suppliers" xr:uid="{00000000-0004-0000-0100-00000F000000}"/>
    <hyperlink ref="A21" location="'mst_Customers'!A1" display="Master Data - Customers" xr:uid="{00000000-0004-0000-0100-000010000000}"/>
    <hyperlink ref="A22" location="'mst_Vaccines_Meds'!A1" display="Master Data - Vaccines/Meds" xr:uid="{00000000-0004-0000-0100-000011000000}"/>
    <hyperlink ref="A23" location="'mst_Settings'!A1" display="System Settings" xr:uid="{00000000-0004-0000-0100-000012000000}"/>
    <hyperlink ref="A28" location="'reg_DailyRoutine'!A1" display="Daily Routine Checklist" xr:uid="{00000000-0004-0000-0100-000013000000}"/>
    <hyperlink ref="A29" location="'reg_FeedPurchases'!A1" display="Feed Purchases Entry" xr:uid="{00000000-0004-0000-0100-000014000000}"/>
    <hyperlink ref="A30" location="'calc_FeedStockSummary'!A1" display="Feed Stock Summary" xr:uid="{00000000-0004-0000-0100-000015000000}"/>
    <hyperlink ref="A31" location="'reg_MedicineStock'!A1" display="Medicine Stock Entry" xr:uid="{00000000-0004-0000-0100-000016000000}"/>
    <hyperlink ref="A32" location="'reg_OtherIncome'!A1" display="Other Income Entry" xr:uid="{00000000-0004-0000-0100-000017000000}"/>
    <hyperlink ref="A33" location="'mst_Employees'!A1" display="Master Data - Employees" xr:uid="{00000000-0004-0000-0100-000018000000}"/>
    <hyperlink ref="A34" location="'mst_Lists'!A1" display="Master Data - Dropdown Lists" xr:uid="{00000000-0004-0000-0100-000019000000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808080"/>
  </sheetPr>
  <dimension ref="A1:E5"/>
  <sheetViews>
    <sheetView showGridLines="0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0" customWidth="1"/>
    <col min="2" max="2" width="12" customWidth="1"/>
    <col min="3" max="3" width="10" customWidth="1"/>
    <col min="4" max="4" width="14" customWidth="1"/>
    <col min="5" max="5" width="10" customWidth="1"/>
  </cols>
  <sheetData>
    <row r="1" spans="1:5" x14ac:dyDescent="0.3">
      <c r="A1" s="1" t="s">
        <v>108</v>
      </c>
      <c r="B1" s="1" t="s">
        <v>109</v>
      </c>
      <c r="C1" s="1" t="s">
        <v>110</v>
      </c>
      <c r="D1" s="1" t="s">
        <v>111</v>
      </c>
      <c r="E1" s="1" t="s">
        <v>11</v>
      </c>
    </row>
    <row r="2" spans="1:5" x14ac:dyDescent="0.3">
      <c r="A2" s="2">
        <v>1</v>
      </c>
      <c r="B2" s="2" t="s">
        <v>112</v>
      </c>
      <c r="C2" s="2">
        <v>5000</v>
      </c>
      <c r="D2" s="2" t="s">
        <v>113</v>
      </c>
      <c r="E2" s="2" t="s">
        <v>114</v>
      </c>
    </row>
    <row r="3" spans="1:5" x14ac:dyDescent="0.3">
      <c r="A3" s="2">
        <v>2</v>
      </c>
      <c r="B3" s="2" t="s">
        <v>115</v>
      </c>
      <c r="C3" s="2">
        <v>5000</v>
      </c>
      <c r="D3" s="2" t="s">
        <v>113</v>
      </c>
      <c r="E3" s="2" t="s">
        <v>114</v>
      </c>
    </row>
    <row r="4" spans="1:5" x14ac:dyDescent="0.3">
      <c r="A4" s="2">
        <v>3</v>
      </c>
      <c r="B4" s="2" t="s">
        <v>116</v>
      </c>
      <c r="C4" s="2">
        <v>4000</v>
      </c>
      <c r="D4" s="2" t="s">
        <v>117</v>
      </c>
      <c r="E4" s="2" t="s">
        <v>114</v>
      </c>
    </row>
    <row r="5" spans="1:5" x14ac:dyDescent="0.3">
      <c r="A5" s="2">
        <v>4</v>
      </c>
      <c r="B5" s="2" t="s">
        <v>118</v>
      </c>
      <c r="C5" s="2">
        <v>4000</v>
      </c>
      <c r="D5" s="2" t="s">
        <v>117</v>
      </c>
      <c r="E5" s="2" t="s">
        <v>119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808080"/>
  </sheetPr>
  <dimension ref="A1:D4"/>
  <sheetViews>
    <sheetView showGridLines="0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0" customWidth="1"/>
    <col min="2" max="2" width="16" customWidth="1"/>
    <col min="3" max="3" width="14" customWidth="1"/>
    <col min="4" max="4" width="16" customWidth="1"/>
  </cols>
  <sheetData>
    <row r="1" spans="1:4" x14ac:dyDescent="0.3">
      <c r="A1" s="1" t="s">
        <v>120</v>
      </c>
      <c r="B1" s="1" t="s">
        <v>121</v>
      </c>
      <c r="C1" s="1" t="s">
        <v>122</v>
      </c>
      <c r="D1" s="1" t="s">
        <v>123</v>
      </c>
    </row>
    <row r="2" spans="1:4" x14ac:dyDescent="0.3">
      <c r="A2" s="2">
        <v>1</v>
      </c>
      <c r="B2" s="2" t="s">
        <v>124</v>
      </c>
      <c r="C2" s="2">
        <v>1.65</v>
      </c>
      <c r="D2" s="2">
        <v>62</v>
      </c>
    </row>
    <row r="3" spans="1:4" x14ac:dyDescent="0.3">
      <c r="A3" s="2">
        <v>2</v>
      </c>
      <c r="B3" s="2" t="s">
        <v>125</v>
      </c>
      <c r="C3" s="2">
        <v>1.68</v>
      </c>
      <c r="D3" s="2">
        <v>60</v>
      </c>
    </row>
    <row r="4" spans="1:4" x14ac:dyDescent="0.3">
      <c r="A4" s="2">
        <v>3</v>
      </c>
      <c r="B4" s="2" t="s">
        <v>126</v>
      </c>
      <c r="C4" s="2">
        <v>1.7</v>
      </c>
      <c r="D4" s="2">
        <v>58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808080"/>
  </sheetPr>
  <dimension ref="A1:F4"/>
  <sheetViews>
    <sheetView showGridLines="0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0" customWidth="1"/>
    <col min="2" max="2" width="16" customWidth="1"/>
    <col min="3" max="3" width="12" customWidth="1"/>
    <col min="4" max="5" width="18" customWidth="1"/>
    <col min="6" max="6" width="14" customWidth="1"/>
  </cols>
  <sheetData>
    <row r="1" spans="1:6" ht="26.4" x14ac:dyDescent="0.3">
      <c r="A1" s="1" t="s">
        <v>127</v>
      </c>
      <c r="B1" s="1" t="s">
        <v>128</v>
      </c>
      <c r="C1" s="1" t="s">
        <v>129</v>
      </c>
      <c r="D1" s="1" t="s">
        <v>130</v>
      </c>
      <c r="E1" s="1" t="s">
        <v>131</v>
      </c>
      <c r="F1" s="1" t="s">
        <v>132</v>
      </c>
    </row>
    <row r="2" spans="1:6" x14ac:dyDescent="0.3">
      <c r="A2" s="2">
        <v>1</v>
      </c>
      <c r="B2" s="2" t="s">
        <v>133</v>
      </c>
      <c r="C2" s="2" t="s">
        <v>134</v>
      </c>
      <c r="D2" s="3">
        <v>12.5</v>
      </c>
      <c r="E2" s="2">
        <v>50</v>
      </c>
      <c r="F2" s="2">
        <v>300</v>
      </c>
    </row>
    <row r="3" spans="1:6" x14ac:dyDescent="0.3">
      <c r="A3" s="2">
        <v>2</v>
      </c>
      <c r="B3" s="2" t="s">
        <v>135</v>
      </c>
      <c r="C3" s="2" t="s">
        <v>136</v>
      </c>
      <c r="D3" s="3">
        <v>11.8</v>
      </c>
      <c r="E3" s="2">
        <v>50</v>
      </c>
      <c r="F3" s="2">
        <v>400</v>
      </c>
    </row>
    <row r="4" spans="1:6" x14ac:dyDescent="0.3">
      <c r="A4" s="2">
        <v>3</v>
      </c>
      <c r="B4" s="2" t="s">
        <v>137</v>
      </c>
      <c r="C4" s="2" t="s">
        <v>138</v>
      </c>
      <c r="D4" s="3">
        <v>11.2</v>
      </c>
      <c r="E4" s="2">
        <v>50</v>
      </c>
      <c r="F4" s="2">
        <v>400</v>
      </c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808080"/>
  </sheetPr>
  <dimension ref="A1:F5"/>
  <sheetViews>
    <sheetView showGridLines="0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2" customWidth="1"/>
    <col min="2" max="2" width="24" customWidth="1"/>
    <col min="3" max="3" width="18" customWidth="1"/>
    <col min="4" max="4" width="24" customWidth="1"/>
    <col min="5" max="5" width="16" customWidth="1"/>
    <col min="6" max="6" width="14" customWidth="1"/>
  </cols>
  <sheetData>
    <row r="1" spans="1:6" x14ac:dyDescent="0.3">
      <c r="A1" s="1" t="s">
        <v>139</v>
      </c>
      <c r="B1" s="1" t="s">
        <v>140</v>
      </c>
      <c r="C1" s="1" t="s">
        <v>141</v>
      </c>
      <c r="D1" s="1" t="s">
        <v>142</v>
      </c>
      <c r="E1" s="1" t="s">
        <v>143</v>
      </c>
      <c r="F1" s="1" t="s">
        <v>144</v>
      </c>
    </row>
    <row r="2" spans="1:6" x14ac:dyDescent="0.3">
      <c r="A2" s="2">
        <v>1</v>
      </c>
      <c r="B2" s="2" t="s">
        <v>145</v>
      </c>
      <c r="C2" s="2" t="s">
        <v>146</v>
      </c>
      <c r="D2" s="2" t="s">
        <v>147</v>
      </c>
      <c r="E2" s="2" t="s">
        <v>148</v>
      </c>
      <c r="F2" s="2">
        <v>2</v>
      </c>
    </row>
    <row r="3" spans="1:6" x14ac:dyDescent="0.3">
      <c r="A3" s="2">
        <v>2</v>
      </c>
      <c r="B3" s="2" t="s">
        <v>149</v>
      </c>
      <c r="C3" s="2" t="s">
        <v>150</v>
      </c>
      <c r="D3" s="2" t="s">
        <v>151</v>
      </c>
      <c r="E3" s="2" t="s">
        <v>152</v>
      </c>
      <c r="F3" s="2">
        <v>1</v>
      </c>
    </row>
    <row r="4" spans="1:6" x14ac:dyDescent="0.3">
      <c r="A4" s="2">
        <v>3</v>
      </c>
      <c r="B4" s="2" t="s">
        <v>153</v>
      </c>
      <c r="C4" s="2" t="s">
        <v>154</v>
      </c>
      <c r="D4" s="2" t="s">
        <v>155</v>
      </c>
      <c r="E4" s="2" t="s">
        <v>156</v>
      </c>
      <c r="F4" s="2">
        <v>3</v>
      </c>
    </row>
    <row r="5" spans="1:6" x14ac:dyDescent="0.3">
      <c r="A5" s="2">
        <v>4</v>
      </c>
      <c r="B5" s="2" t="s">
        <v>157</v>
      </c>
      <c r="C5" s="2" t="s">
        <v>158</v>
      </c>
      <c r="D5" s="2" t="s">
        <v>159</v>
      </c>
      <c r="E5" s="2" t="s">
        <v>160</v>
      </c>
      <c r="F5" s="2">
        <v>2</v>
      </c>
    </row>
  </sheetData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808080"/>
  </sheetPr>
  <dimension ref="A1:F4"/>
  <sheetViews>
    <sheetView showGridLines="0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2" customWidth="1"/>
    <col min="2" max="2" width="26" customWidth="1"/>
    <col min="3" max="3" width="18" customWidth="1"/>
    <col min="4" max="4" width="22" customWidth="1"/>
    <col min="5" max="5" width="12" customWidth="1"/>
    <col min="6" max="6" width="18" customWidth="1"/>
  </cols>
  <sheetData>
    <row r="1" spans="1:6" x14ac:dyDescent="0.3">
      <c r="A1" s="1" t="s">
        <v>161</v>
      </c>
      <c r="B1" s="1" t="s">
        <v>162</v>
      </c>
      <c r="C1" s="1" t="s">
        <v>141</v>
      </c>
      <c r="D1" s="1" t="s">
        <v>163</v>
      </c>
      <c r="E1" s="1" t="s">
        <v>164</v>
      </c>
      <c r="F1" s="1" t="s">
        <v>165</v>
      </c>
    </row>
    <row r="2" spans="1:6" x14ac:dyDescent="0.3">
      <c r="A2" s="2">
        <v>1</v>
      </c>
      <c r="B2" s="2" t="s">
        <v>166</v>
      </c>
      <c r="C2" s="2" t="s">
        <v>167</v>
      </c>
      <c r="D2" s="2" t="s">
        <v>168</v>
      </c>
      <c r="E2" s="2" t="s">
        <v>169</v>
      </c>
      <c r="F2" s="2" t="s">
        <v>170</v>
      </c>
    </row>
    <row r="3" spans="1:6" x14ac:dyDescent="0.3">
      <c r="A3" s="2">
        <v>2</v>
      </c>
      <c r="B3" s="2" t="s">
        <v>171</v>
      </c>
      <c r="C3" s="2" t="s">
        <v>172</v>
      </c>
      <c r="D3" s="2" t="s">
        <v>173</v>
      </c>
      <c r="E3" s="2" t="s">
        <v>174</v>
      </c>
      <c r="F3" s="2" t="s">
        <v>175</v>
      </c>
    </row>
    <row r="4" spans="1:6" x14ac:dyDescent="0.3">
      <c r="A4" s="2">
        <v>3</v>
      </c>
      <c r="B4" s="2" t="s">
        <v>176</v>
      </c>
      <c r="C4" s="2" t="s">
        <v>177</v>
      </c>
      <c r="D4" s="2" t="s">
        <v>178</v>
      </c>
      <c r="E4" s="2" t="s">
        <v>179</v>
      </c>
      <c r="F4" s="2" t="s">
        <v>175</v>
      </c>
    </row>
  </sheetData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808080"/>
  </sheetPr>
  <dimension ref="A1:E5"/>
  <sheetViews>
    <sheetView showGridLines="0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2" customWidth="1"/>
    <col min="2" max="2" width="32" customWidth="1"/>
    <col min="3" max="5" width="14" customWidth="1"/>
  </cols>
  <sheetData>
    <row r="1" spans="1:5" ht="26.4" x14ac:dyDescent="0.3">
      <c r="A1" s="1" t="s">
        <v>180</v>
      </c>
      <c r="B1" s="1" t="s">
        <v>181</v>
      </c>
      <c r="C1" s="1" t="s">
        <v>182</v>
      </c>
      <c r="D1" s="1" t="s">
        <v>183</v>
      </c>
      <c r="E1" s="1" t="s">
        <v>184</v>
      </c>
    </row>
    <row r="2" spans="1:5" x14ac:dyDescent="0.3">
      <c r="A2" s="2">
        <v>1</v>
      </c>
      <c r="B2" s="2" t="s">
        <v>185</v>
      </c>
      <c r="C2" s="2" t="s">
        <v>186</v>
      </c>
      <c r="D2" s="2" t="s">
        <v>187</v>
      </c>
      <c r="E2" s="2">
        <v>0</v>
      </c>
    </row>
    <row r="3" spans="1:5" x14ac:dyDescent="0.3">
      <c r="A3" s="2">
        <v>2</v>
      </c>
      <c r="B3" s="2" t="s">
        <v>188</v>
      </c>
      <c r="C3" s="2" t="s">
        <v>186</v>
      </c>
      <c r="D3" s="2" t="s">
        <v>187</v>
      </c>
      <c r="E3" s="2">
        <v>0</v>
      </c>
    </row>
    <row r="4" spans="1:5" x14ac:dyDescent="0.3">
      <c r="A4" s="2">
        <v>3</v>
      </c>
      <c r="B4" s="2" t="s">
        <v>189</v>
      </c>
      <c r="C4" s="2" t="s">
        <v>190</v>
      </c>
      <c r="D4" s="2" t="s">
        <v>191</v>
      </c>
      <c r="E4" s="2">
        <v>7</v>
      </c>
    </row>
    <row r="5" spans="1:5" x14ac:dyDescent="0.3">
      <c r="A5" s="2">
        <v>4</v>
      </c>
      <c r="B5" s="2" t="s">
        <v>192</v>
      </c>
      <c r="C5" s="2" t="s">
        <v>193</v>
      </c>
      <c r="D5" s="2" t="s">
        <v>191</v>
      </c>
      <c r="E5" s="2">
        <v>0</v>
      </c>
    </row>
  </sheetData>
  <pageMargins left="0.75" right="0.75" top="1" bottom="1" header="0.5" footer="0.5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808080"/>
  </sheetPr>
  <dimension ref="A1:C4"/>
  <sheetViews>
    <sheetView showGridLines="0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0" customWidth="1"/>
    <col min="2" max="2" width="20" customWidth="1"/>
    <col min="3" max="3" width="16" customWidth="1"/>
  </cols>
  <sheetData>
    <row r="1" spans="1:3" x14ac:dyDescent="0.3">
      <c r="A1" s="1" t="s">
        <v>194</v>
      </c>
      <c r="B1" s="1" t="s">
        <v>195</v>
      </c>
      <c r="C1" s="1" t="s">
        <v>196</v>
      </c>
    </row>
    <row r="2" spans="1:3" x14ac:dyDescent="0.3">
      <c r="A2" s="2">
        <v>1</v>
      </c>
      <c r="B2" s="2" t="s">
        <v>197</v>
      </c>
      <c r="C2" s="2" t="s">
        <v>198</v>
      </c>
    </row>
    <row r="3" spans="1:3" x14ac:dyDescent="0.3">
      <c r="A3" s="2">
        <v>2</v>
      </c>
      <c r="B3" s="2" t="s">
        <v>199</v>
      </c>
      <c r="C3" s="2" t="s">
        <v>200</v>
      </c>
    </row>
    <row r="4" spans="1:3" x14ac:dyDescent="0.3">
      <c r="A4" s="2">
        <v>3</v>
      </c>
      <c r="B4" s="2" t="s">
        <v>201</v>
      </c>
      <c r="C4" s="2" t="s">
        <v>202</v>
      </c>
    </row>
  </sheetData>
  <pageMargins left="0.75" right="0.75" top="1" bottom="1" header="0.5" footer="0.5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808080"/>
  </sheetPr>
  <dimension ref="A1:B12"/>
  <sheetViews>
    <sheetView showGridLines="0" workbookViewId="0">
      <pane ySplit="1" topLeftCell="A2" activePane="bottomLeft" state="frozen"/>
      <selection pane="bottomLeft"/>
    </sheetView>
  </sheetViews>
  <sheetFormatPr defaultRowHeight="14.4" x14ac:dyDescent="0.3"/>
  <cols>
    <col min="1" max="1" width="26" customWidth="1"/>
    <col min="2" max="2" width="22" customWidth="1"/>
  </cols>
  <sheetData>
    <row r="1" spans="1:2" x14ac:dyDescent="0.3">
      <c r="A1" s="1" t="s">
        <v>203</v>
      </c>
      <c r="B1" s="1" t="s">
        <v>204</v>
      </c>
    </row>
    <row r="2" spans="1:2" x14ac:dyDescent="0.3">
      <c r="A2" s="2" t="s">
        <v>205</v>
      </c>
      <c r="B2" s="2" t="s">
        <v>206</v>
      </c>
    </row>
    <row r="3" spans="1:2" x14ac:dyDescent="0.3">
      <c r="A3" s="2" t="s">
        <v>207</v>
      </c>
      <c r="B3" s="2" t="s">
        <v>208</v>
      </c>
    </row>
    <row r="4" spans="1:2" x14ac:dyDescent="0.3">
      <c r="A4" s="2" t="s">
        <v>209</v>
      </c>
      <c r="B4" s="2" t="s">
        <v>210</v>
      </c>
    </row>
    <row r="5" spans="1:2" x14ac:dyDescent="0.3">
      <c r="A5" s="2" t="s">
        <v>142</v>
      </c>
      <c r="B5" s="2" t="s">
        <v>211</v>
      </c>
    </row>
    <row r="6" spans="1:2" x14ac:dyDescent="0.3">
      <c r="A6" s="2" t="s">
        <v>212</v>
      </c>
      <c r="B6" s="2" t="s">
        <v>213</v>
      </c>
    </row>
    <row r="7" spans="1:2" x14ac:dyDescent="0.3">
      <c r="A7" s="2" t="s">
        <v>214</v>
      </c>
      <c r="B7" s="2" t="s">
        <v>215</v>
      </c>
    </row>
    <row r="8" spans="1:2" x14ac:dyDescent="0.3">
      <c r="A8" s="2" t="s">
        <v>216</v>
      </c>
      <c r="B8" s="2">
        <v>1.7</v>
      </c>
    </row>
    <row r="9" spans="1:2" x14ac:dyDescent="0.3">
      <c r="A9" s="2" t="s">
        <v>217</v>
      </c>
      <c r="B9" s="2">
        <v>0.95</v>
      </c>
    </row>
    <row r="10" spans="1:2" x14ac:dyDescent="0.3">
      <c r="A10" s="2" t="s">
        <v>218</v>
      </c>
      <c r="B10" s="2">
        <v>0.02</v>
      </c>
    </row>
    <row r="11" spans="1:2" x14ac:dyDescent="0.3">
      <c r="A11" s="2" t="s">
        <v>219</v>
      </c>
      <c r="B11" s="2">
        <v>30</v>
      </c>
    </row>
    <row r="12" spans="1:2" x14ac:dyDescent="0.3">
      <c r="A12" s="2" t="s">
        <v>220</v>
      </c>
      <c r="B12" s="2">
        <v>4</v>
      </c>
    </row>
  </sheetData>
  <pageMargins left="0.75" right="0.75" top="1" bottom="1" header="0.5" footer="0.5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404040"/>
  </sheetPr>
  <dimension ref="A1:G9"/>
  <sheetViews>
    <sheetView showGridLines="0" workbookViewId="0">
      <pane ySplit="1" topLeftCell="A2" activePane="bottomLeft" state="frozen"/>
      <selection pane="bottomLeft"/>
    </sheetView>
  </sheetViews>
  <sheetFormatPr defaultRowHeight="14.4" x14ac:dyDescent="0.3"/>
  <cols>
    <col min="1" max="7" width="16" customWidth="1"/>
  </cols>
  <sheetData>
    <row r="1" spans="1:7" x14ac:dyDescent="0.3">
      <c r="A1" s="4" t="s">
        <v>221</v>
      </c>
      <c r="B1" s="4" t="s">
        <v>222</v>
      </c>
      <c r="C1" s="4" t="s">
        <v>223</v>
      </c>
      <c r="D1" s="4" t="s">
        <v>224</v>
      </c>
      <c r="E1" s="4" t="s">
        <v>225</v>
      </c>
      <c r="F1" s="4" t="s">
        <v>226</v>
      </c>
      <c r="G1" s="4" t="s">
        <v>227</v>
      </c>
    </row>
    <row r="2" spans="1:7" x14ac:dyDescent="0.3">
      <c r="A2" s="2" t="s">
        <v>228</v>
      </c>
      <c r="B2" s="2" t="s">
        <v>229</v>
      </c>
      <c r="C2" s="2" t="s">
        <v>230</v>
      </c>
      <c r="D2" s="2" t="s">
        <v>148</v>
      </c>
      <c r="E2" s="2" t="s">
        <v>231</v>
      </c>
      <c r="F2" s="2" t="s">
        <v>232</v>
      </c>
      <c r="G2" s="2" t="s">
        <v>233</v>
      </c>
    </row>
    <row r="3" spans="1:7" x14ac:dyDescent="0.3">
      <c r="A3" s="2" t="s">
        <v>234</v>
      </c>
      <c r="B3" s="2" t="s">
        <v>235</v>
      </c>
      <c r="C3" s="2" t="s">
        <v>236</v>
      </c>
      <c r="D3" s="2" t="s">
        <v>160</v>
      </c>
      <c r="E3" s="2" t="s">
        <v>237</v>
      </c>
      <c r="F3" s="2" t="s">
        <v>238</v>
      </c>
      <c r="G3" s="2" t="s">
        <v>239</v>
      </c>
    </row>
    <row r="4" spans="1:7" x14ac:dyDescent="0.3">
      <c r="A4" s="2" t="s">
        <v>240</v>
      </c>
      <c r="B4" s="2" t="s">
        <v>241</v>
      </c>
      <c r="C4" s="2" t="s">
        <v>242</v>
      </c>
      <c r="D4" s="2" t="s">
        <v>243</v>
      </c>
      <c r="F4" s="2" t="s">
        <v>244</v>
      </c>
      <c r="G4" s="2" t="s">
        <v>245</v>
      </c>
    </row>
    <row r="5" spans="1:7" x14ac:dyDescent="0.3">
      <c r="A5" s="2" t="s">
        <v>246</v>
      </c>
      <c r="B5" s="2" t="s">
        <v>247</v>
      </c>
      <c r="D5" s="2" t="s">
        <v>248</v>
      </c>
      <c r="F5" s="2" t="s">
        <v>249</v>
      </c>
      <c r="G5" s="2" t="s">
        <v>250</v>
      </c>
    </row>
    <row r="6" spans="1:7" x14ac:dyDescent="0.3">
      <c r="A6" s="2" t="s">
        <v>251</v>
      </c>
      <c r="D6" s="2" t="s">
        <v>252</v>
      </c>
      <c r="F6" s="2" t="s">
        <v>253</v>
      </c>
    </row>
    <row r="7" spans="1:7" x14ac:dyDescent="0.3">
      <c r="D7" s="2" t="s">
        <v>156</v>
      </c>
      <c r="F7" s="2" t="s">
        <v>254</v>
      </c>
    </row>
    <row r="8" spans="1:7" x14ac:dyDescent="0.3">
      <c r="D8" s="2" t="s">
        <v>255</v>
      </c>
    </row>
    <row r="9" spans="1:7" x14ac:dyDescent="0.3">
      <c r="D9" s="2" t="s">
        <v>256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548235"/>
  </sheetPr>
  <dimension ref="A1:H5"/>
  <sheetViews>
    <sheetView showGridLines="0" workbookViewId="0">
      <pane ySplit="1" topLeftCell="A2" activePane="bottomLeft" state="frozen"/>
      <selection pane="bottomLeft" activeCell="G2" sqref="G2"/>
    </sheetView>
  </sheetViews>
  <sheetFormatPr defaultRowHeight="14.4" x14ac:dyDescent="0.3"/>
  <cols>
    <col min="1" max="1" width="12" customWidth="1"/>
    <col min="2" max="3" width="10" customWidth="1"/>
    <col min="4" max="4" width="14" customWidth="1"/>
    <col min="5" max="5" width="16" customWidth="1"/>
    <col min="6" max="6" width="12" customWidth="1"/>
    <col min="7" max="7" width="21.5546875" customWidth="1"/>
    <col min="8" max="8" width="10" customWidth="1"/>
  </cols>
  <sheetData>
    <row r="1" spans="1:8" ht="26.4" x14ac:dyDescent="0.3">
      <c r="A1" s="5" t="s">
        <v>257</v>
      </c>
      <c r="B1" s="5" t="s">
        <v>108</v>
      </c>
      <c r="C1" s="5" t="s">
        <v>120</v>
      </c>
      <c r="D1" s="5" t="s">
        <v>258</v>
      </c>
      <c r="E1" s="5" t="s">
        <v>259</v>
      </c>
      <c r="F1" s="5" t="s">
        <v>139</v>
      </c>
      <c r="G1" s="5" t="s">
        <v>260</v>
      </c>
      <c r="H1" s="5" t="s">
        <v>11</v>
      </c>
    </row>
    <row r="2" spans="1:8" x14ac:dyDescent="0.3">
      <c r="A2" s="2" t="s">
        <v>261</v>
      </c>
      <c r="B2" s="2">
        <v>1</v>
      </c>
      <c r="C2" s="2">
        <v>1</v>
      </c>
      <c r="D2" s="6">
        <v>46162</v>
      </c>
      <c r="E2" s="7">
        <v>5000</v>
      </c>
      <c r="F2" s="2">
        <v>1</v>
      </c>
      <c r="G2" s="6">
        <v>46204</v>
      </c>
      <c r="H2" s="2" t="s">
        <v>262</v>
      </c>
    </row>
    <row r="3" spans="1:8" x14ac:dyDescent="0.3">
      <c r="A3" s="2" t="s">
        <v>263</v>
      </c>
      <c r="B3" s="2">
        <v>2</v>
      </c>
      <c r="C3" s="2">
        <v>2</v>
      </c>
      <c r="D3" s="6">
        <v>46198</v>
      </c>
      <c r="E3" s="7">
        <v>5000</v>
      </c>
      <c r="F3" s="2">
        <v>1</v>
      </c>
      <c r="G3" s="6">
        <v>46240</v>
      </c>
      <c r="H3" s="2" t="s">
        <v>114</v>
      </c>
    </row>
    <row r="4" spans="1:8" x14ac:dyDescent="0.3">
      <c r="A4" s="2" t="s">
        <v>264</v>
      </c>
      <c r="B4" s="2">
        <v>3</v>
      </c>
      <c r="C4" s="2">
        <v>1</v>
      </c>
      <c r="D4" s="6">
        <v>46218</v>
      </c>
      <c r="E4" s="7">
        <v>4000</v>
      </c>
      <c r="F4" s="2">
        <v>1</v>
      </c>
      <c r="G4" s="6">
        <v>46260</v>
      </c>
      <c r="H4" s="2" t="s">
        <v>114</v>
      </c>
    </row>
    <row r="5" spans="1:8" x14ac:dyDescent="0.3">
      <c r="A5" s="2" t="s">
        <v>265</v>
      </c>
      <c r="B5" s="2">
        <v>1</v>
      </c>
      <c r="C5" s="2">
        <v>3</v>
      </c>
      <c r="D5" s="6">
        <v>46235</v>
      </c>
      <c r="E5" s="7">
        <v>5000</v>
      </c>
      <c r="F5" s="2">
        <v>1</v>
      </c>
      <c r="G5" s="6">
        <v>46277</v>
      </c>
      <c r="H5" s="2" t="s">
        <v>114</v>
      </c>
    </row>
  </sheetData>
  <pageMargins left="0.75" right="0.75" top="1" bottom="1" header="0.5" footer="0.5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548235"/>
  </sheetPr>
  <dimension ref="A1:H32"/>
  <sheetViews>
    <sheetView showGridLines="0" tabSelected="1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2" customWidth="1"/>
    <col min="2" max="2" width="10" customWidth="1"/>
    <col min="3" max="3" width="12" customWidth="1"/>
    <col min="4" max="5" width="16" customWidth="1"/>
    <col min="6" max="6" width="18" customWidth="1"/>
    <col min="7" max="7" width="14" customWidth="1"/>
    <col min="8" max="8" width="10" customWidth="1"/>
  </cols>
  <sheetData>
    <row r="1" spans="1:8" ht="26.4" x14ac:dyDescent="0.3">
      <c r="A1" s="5" t="s">
        <v>266</v>
      </c>
      <c r="B1" s="5" t="s">
        <v>257</v>
      </c>
      <c r="C1" s="5" t="s">
        <v>267</v>
      </c>
      <c r="D1" s="5" t="s">
        <v>268</v>
      </c>
      <c r="E1" s="5" t="s">
        <v>269</v>
      </c>
      <c r="F1" s="5" t="s">
        <v>270</v>
      </c>
      <c r="G1" s="5" t="s">
        <v>271</v>
      </c>
      <c r="H1" s="5" t="s">
        <v>272</v>
      </c>
    </row>
    <row r="2" spans="1:8" x14ac:dyDescent="0.3">
      <c r="A2" s="2" t="s">
        <v>273</v>
      </c>
      <c r="B2" s="2" t="s">
        <v>261</v>
      </c>
      <c r="C2" s="6">
        <v>46162</v>
      </c>
      <c r="D2" s="7">
        <v>8</v>
      </c>
      <c r="E2" s="2" t="s">
        <v>232</v>
      </c>
      <c r="F2" s="7">
        <f>SUMIFS(reg_DailyMortality[MortalityCount],reg_DailyMortality[FlockID],$B2,reg_DailyMortality[Date],"&lt;="&amp;$C2)</f>
        <v>8</v>
      </c>
      <c r="G2" s="2" t="s">
        <v>201</v>
      </c>
      <c r="H2" s="2" t="s">
        <v>231</v>
      </c>
    </row>
    <row r="3" spans="1:8" x14ac:dyDescent="0.3">
      <c r="A3" s="2" t="s">
        <v>274</v>
      </c>
      <c r="B3" s="2" t="s">
        <v>261</v>
      </c>
      <c r="C3" s="6">
        <v>46166</v>
      </c>
      <c r="D3" s="7">
        <v>7</v>
      </c>
      <c r="E3" s="2" t="s">
        <v>238</v>
      </c>
      <c r="F3" s="7">
        <f>SUMIFS(reg_DailyMortality[MortalityCount],reg_DailyMortality[FlockID],$B3,reg_DailyMortality[Date],"&lt;="&amp;$C3)</f>
        <v>15</v>
      </c>
      <c r="G3" s="2" t="s">
        <v>199</v>
      </c>
      <c r="H3" s="2" t="s">
        <v>231</v>
      </c>
    </row>
    <row r="4" spans="1:8" x14ac:dyDescent="0.3">
      <c r="A4" s="2" t="s">
        <v>275</v>
      </c>
      <c r="B4" s="2" t="s">
        <v>261</v>
      </c>
      <c r="C4" s="6">
        <v>46170</v>
      </c>
      <c r="D4" s="7">
        <v>1</v>
      </c>
      <c r="E4" s="2" t="s">
        <v>244</v>
      </c>
      <c r="F4" s="7">
        <f>SUMIFS(reg_DailyMortality[MortalityCount],reg_DailyMortality[FlockID],$B4,reg_DailyMortality[Date],"&lt;="&amp;$C4)</f>
        <v>16</v>
      </c>
      <c r="G4" s="2" t="s">
        <v>201</v>
      </c>
      <c r="H4" s="2" t="s">
        <v>231</v>
      </c>
    </row>
    <row r="5" spans="1:8" x14ac:dyDescent="0.3">
      <c r="A5" s="2" t="s">
        <v>276</v>
      </c>
      <c r="B5" s="2" t="s">
        <v>261</v>
      </c>
      <c r="C5" s="6">
        <v>46174</v>
      </c>
      <c r="D5" s="7">
        <v>3</v>
      </c>
      <c r="E5" s="2" t="s">
        <v>232</v>
      </c>
      <c r="F5" s="7">
        <f>SUMIFS(reg_DailyMortality[MortalityCount],reg_DailyMortality[FlockID],$B5,reg_DailyMortality[Date],"&lt;="&amp;$C5)</f>
        <v>19</v>
      </c>
      <c r="G5" s="2" t="s">
        <v>201</v>
      </c>
      <c r="H5" s="2" t="s">
        <v>231</v>
      </c>
    </row>
    <row r="6" spans="1:8" x14ac:dyDescent="0.3">
      <c r="A6" s="2" t="s">
        <v>277</v>
      </c>
      <c r="B6" s="2" t="s">
        <v>261</v>
      </c>
      <c r="C6" s="6">
        <v>46178</v>
      </c>
      <c r="D6" s="7">
        <v>2</v>
      </c>
      <c r="E6" s="2" t="s">
        <v>232</v>
      </c>
      <c r="F6" s="7">
        <f>SUMIFS(reg_DailyMortality[MortalityCount],reg_DailyMortality[FlockID],$B6,reg_DailyMortality[Date],"&lt;="&amp;$C6)</f>
        <v>21</v>
      </c>
      <c r="G6" s="2" t="s">
        <v>199</v>
      </c>
      <c r="H6" s="2" t="s">
        <v>231</v>
      </c>
    </row>
    <row r="7" spans="1:8" x14ac:dyDescent="0.3">
      <c r="A7" s="2" t="s">
        <v>278</v>
      </c>
      <c r="B7" s="2" t="s">
        <v>261</v>
      </c>
      <c r="C7" s="6">
        <v>46182</v>
      </c>
      <c r="D7" s="7">
        <v>1</v>
      </c>
      <c r="E7" s="2" t="s">
        <v>238</v>
      </c>
      <c r="F7" s="7">
        <f>SUMIFS(reg_DailyMortality[MortalityCount],reg_DailyMortality[FlockID],$B7,reg_DailyMortality[Date],"&lt;="&amp;$C7)</f>
        <v>22</v>
      </c>
      <c r="G7" s="2" t="s">
        <v>201</v>
      </c>
      <c r="H7" s="2" t="s">
        <v>231</v>
      </c>
    </row>
    <row r="8" spans="1:8" x14ac:dyDescent="0.3">
      <c r="A8" s="2" t="s">
        <v>279</v>
      </c>
      <c r="B8" s="2" t="s">
        <v>261</v>
      </c>
      <c r="C8" s="6">
        <v>46186</v>
      </c>
      <c r="D8" s="7">
        <v>2</v>
      </c>
      <c r="E8" s="2" t="s">
        <v>244</v>
      </c>
      <c r="F8" s="7">
        <f>SUMIFS(reg_DailyMortality[MortalityCount],reg_DailyMortality[FlockID],$B8,reg_DailyMortality[Date],"&lt;="&amp;$C8)</f>
        <v>24</v>
      </c>
      <c r="G8" s="2" t="s">
        <v>201</v>
      </c>
      <c r="H8" s="2" t="s">
        <v>231</v>
      </c>
    </row>
    <row r="9" spans="1:8" x14ac:dyDescent="0.3">
      <c r="A9" s="2" t="s">
        <v>280</v>
      </c>
      <c r="B9" s="2" t="s">
        <v>261</v>
      </c>
      <c r="C9" s="6">
        <v>46190</v>
      </c>
      <c r="D9" s="7">
        <v>1</v>
      </c>
      <c r="E9" s="2" t="s">
        <v>232</v>
      </c>
      <c r="F9" s="7">
        <f>SUMIFS(reg_DailyMortality[MortalityCount],reg_DailyMortality[FlockID],$B9,reg_DailyMortality[Date],"&lt;="&amp;$C9)</f>
        <v>25</v>
      </c>
      <c r="G9" s="2" t="s">
        <v>199</v>
      </c>
      <c r="H9" s="2" t="s">
        <v>231</v>
      </c>
    </row>
    <row r="10" spans="1:8" x14ac:dyDescent="0.3">
      <c r="A10" s="2" t="s">
        <v>281</v>
      </c>
      <c r="B10" s="2" t="s">
        <v>261</v>
      </c>
      <c r="C10" s="6">
        <v>46194</v>
      </c>
      <c r="D10" s="7">
        <v>1</v>
      </c>
      <c r="E10" s="2" t="s">
        <v>232</v>
      </c>
      <c r="F10" s="7">
        <f>SUMIFS(reg_DailyMortality[MortalityCount],reg_DailyMortality[FlockID],$B10,reg_DailyMortality[Date],"&lt;="&amp;$C10)</f>
        <v>26</v>
      </c>
      <c r="G10" s="2" t="s">
        <v>201</v>
      </c>
      <c r="H10" s="2" t="s">
        <v>231</v>
      </c>
    </row>
    <row r="11" spans="1:8" x14ac:dyDescent="0.3">
      <c r="A11" s="2" t="s">
        <v>282</v>
      </c>
      <c r="B11" s="2" t="s">
        <v>261</v>
      </c>
      <c r="C11" s="6">
        <v>46198</v>
      </c>
      <c r="D11" s="7">
        <v>2</v>
      </c>
      <c r="E11" s="2" t="s">
        <v>238</v>
      </c>
      <c r="F11" s="7">
        <f>SUMIFS(reg_DailyMortality[MortalityCount],reg_DailyMortality[FlockID],$B11,reg_DailyMortality[Date],"&lt;="&amp;$C11)</f>
        <v>28</v>
      </c>
      <c r="G11" s="2" t="s">
        <v>201</v>
      </c>
      <c r="H11" s="2" t="s">
        <v>231</v>
      </c>
    </row>
    <row r="12" spans="1:8" x14ac:dyDescent="0.3">
      <c r="A12" s="2" t="s">
        <v>283</v>
      </c>
      <c r="B12" s="2" t="s">
        <v>261</v>
      </c>
      <c r="C12" s="6">
        <v>46202</v>
      </c>
      <c r="D12" s="7">
        <v>1</v>
      </c>
      <c r="E12" s="2" t="s">
        <v>244</v>
      </c>
      <c r="F12" s="7">
        <f>SUMIFS(reg_DailyMortality[MortalityCount],reg_DailyMortality[FlockID],$B12,reg_DailyMortality[Date],"&lt;="&amp;$C12)</f>
        <v>29</v>
      </c>
      <c r="G12" s="2" t="s">
        <v>199</v>
      </c>
      <c r="H12" s="2" t="s">
        <v>231</v>
      </c>
    </row>
    <row r="13" spans="1:8" x14ac:dyDescent="0.3">
      <c r="A13" s="2" t="s">
        <v>284</v>
      </c>
      <c r="B13" s="2" t="s">
        <v>263</v>
      </c>
      <c r="C13" s="6">
        <v>46198</v>
      </c>
      <c r="D13" s="7">
        <v>10</v>
      </c>
      <c r="E13" s="2" t="s">
        <v>232</v>
      </c>
      <c r="F13" s="7">
        <f>SUMIFS(reg_DailyMortality[MortalityCount],reg_DailyMortality[FlockID],$B13,reg_DailyMortality[Date],"&lt;="&amp;$C13)</f>
        <v>10</v>
      </c>
      <c r="G13" s="2" t="s">
        <v>201</v>
      </c>
      <c r="H13" s="2" t="s">
        <v>231</v>
      </c>
    </row>
    <row r="14" spans="1:8" x14ac:dyDescent="0.3">
      <c r="A14" s="2" t="s">
        <v>285</v>
      </c>
      <c r="B14" s="2" t="s">
        <v>263</v>
      </c>
      <c r="C14" s="6">
        <v>46202</v>
      </c>
      <c r="D14" s="7">
        <v>8</v>
      </c>
      <c r="E14" s="2" t="s">
        <v>238</v>
      </c>
      <c r="F14" s="7">
        <f>SUMIFS(reg_DailyMortality[MortalityCount],reg_DailyMortality[FlockID],$B14,reg_DailyMortality[Date],"&lt;="&amp;$C14)</f>
        <v>18</v>
      </c>
      <c r="G14" s="2" t="s">
        <v>199</v>
      </c>
      <c r="H14" s="2" t="s">
        <v>231</v>
      </c>
    </row>
    <row r="15" spans="1:8" x14ac:dyDescent="0.3">
      <c r="A15" s="2" t="s">
        <v>286</v>
      </c>
      <c r="B15" s="2" t="s">
        <v>263</v>
      </c>
      <c r="C15" s="6">
        <v>46206</v>
      </c>
      <c r="D15" s="7">
        <v>1</v>
      </c>
      <c r="E15" s="2" t="s">
        <v>244</v>
      </c>
      <c r="F15" s="7">
        <f>SUMIFS(reg_DailyMortality[MortalityCount],reg_DailyMortality[FlockID],$B15,reg_DailyMortality[Date],"&lt;="&amp;$C15)</f>
        <v>19</v>
      </c>
      <c r="G15" s="2" t="s">
        <v>201</v>
      </c>
      <c r="H15" s="2" t="s">
        <v>231</v>
      </c>
    </row>
    <row r="16" spans="1:8" x14ac:dyDescent="0.3">
      <c r="A16" s="2" t="s">
        <v>287</v>
      </c>
      <c r="B16" s="2" t="s">
        <v>263</v>
      </c>
      <c r="C16" s="6">
        <v>46210</v>
      </c>
      <c r="D16" s="7">
        <v>4</v>
      </c>
      <c r="E16" s="2" t="s">
        <v>232</v>
      </c>
      <c r="F16" s="7">
        <f>SUMIFS(reg_DailyMortality[MortalityCount],reg_DailyMortality[FlockID],$B16,reg_DailyMortality[Date],"&lt;="&amp;$C16)</f>
        <v>23</v>
      </c>
      <c r="G16" s="2" t="s">
        <v>201</v>
      </c>
      <c r="H16" s="2" t="s">
        <v>231</v>
      </c>
    </row>
    <row r="17" spans="1:8" x14ac:dyDescent="0.3">
      <c r="A17" s="2" t="s">
        <v>288</v>
      </c>
      <c r="B17" s="2" t="s">
        <v>263</v>
      </c>
      <c r="C17" s="6">
        <v>46214</v>
      </c>
      <c r="D17" s="7">
        <v>2</v>
      </c>
      <c r="E17" s="2" t="s">
        <v>232</v>
      </c>
      <c r="F17" s="7">
        <f>SUMIFS(reg_DailyMortality[MortalityCount],reg_DailyMortality[FlockID],$B17,reg_DailyMortality[Date],"&lt;="&amp;$C17)</f>
        <v>25</v>
      </c>
      <c r="G17" s="2" t="s">
        <v>199</v>
      </c>
      <c r="H17" s="2" t="s">
        <v>231</v>
      </c>
    </row>
    <row r="18" spans="1:8" x14ac:dyDescent="0.3">
      <c r="A18" s="2" t="s">
        <v>289</v>
      </c>
      <c r="B18" s="2" t="s">
        <v>263</v>
      </c>
      <c r="C18" s="6">
        <v>46218</v>
      </c>
      <c r="D18" s="7">
        <v>1</v>
      </c>
      <c r="E18" s="2" t="s">
        <v>238</v>
      </c>
      <c r="F18" s="7">
        <f>SUMIFS(reg_DailyMortality[MortalityCount],reg_DailyMortality[FlockID],$B18,reg_DailyMortality[Date],"&lt;="&amp;$C18)</f>
        <v>26</v>
      </c>
      <c r="G18" s="2" t="s">
        <v>201</v>
      </c>
      <c r="H18" s="2" t="s">
        <v>231</v>
      </c>
    </row>
    <row r="19" spans="1:8" x14ac:dyDescent="0.3">
      <c r="A19" s="2" t="s">
        <v>290</v>
      </c>
      <c r="B19" s="2" t="s">
        <v>263</v>
      </c>
      <c r="C19" s="6">
        <v>46222</v>
      </c>
      <c r="D19" s="7">
        <v>2</v>
      </c>
      <c r="E19" s="2" t="s">
        <v>244</v>
      </c>
      <c r="F19" s="7">
        <f>SUMIFS(reg_DailyMortality[MortalityCount],reg_DailyMortality[FlockID],$B19,reg_DailyMortality[Date],"&lt;="&amp;$C19)</f>
        <v>28</v>
      </c>
      <c r="G19" s="2" t="s">
        <v>201</v>
      </c>
      <c r="H19" s="2" t="s">
        <v>231</v>
      </c>
    </row>
    <row r="20" spans="1:8" x14ac:dyDescent="0.3">
      <c r="A20" s="2" t="s">
        <v>291</v>
      </c>
      <c r="B20" s="2" t="s">
        <v>263</v>
      </c>
      <c r="C20" s="6">
        <v>46226</v>
      </c>
      <c r="D20" s="7">
        <v>1</v>
      </c>
      <c r="E20" s="2" t="s">
        <v>232</v>
      </c>
      <c r="F20" s="7">
        <f>SUMIFS(reg_DailyMortality[MortalityCount],reg_DailyMortality[FlockID],$B20,reg_DailyMortality[Date],"&lt;="&amp;$C20)</f>
        <v>29</v>
      </c>
      <c r="G20" s="2" t="s">
        <v>199</v>
      </c>
      <c r="H20" s="2" t="s">
        <v>231</v>
      </c>
    </row>
    <row r="21" spans="1:8" x14ac:dyDescent="0.3">
      <c r="A21" s="2" t="s">
        <v>292</v>
      </c>
      <c r="B21" s="2" t="s">
        <v>263</v>
      </c>
      <c r="C21" s="6">
        <v>46230</v>
      </c>
      <c r="D21" s="7">
        <v>1</v>
      </c>
      <c r="E21" s="2" t="s">
        <v>232</v>
      </c>
      <c r="F21" s="7">
        <f>SUMIFS(reg_DailyMortality[MortalityCount],reg_DailyMortality[FlockID],$B21,reg_DailyMortality[Date],"&lt;="&amp;$C21)</f>
        <v>30</v>
      </c>
      <c r="G21" s="2" t="s">
        <v>201</v>
      </c>
      <c r="H21" s="2" t="s">
        <v>231</v>
      </c>
    </row>
    <row r="22" spans="1:8" x14ac:dyDescent="0.3">
      <c r="A22" s="2" t="s">
        <v>293</v>
      </c>
      <c r="B22" s="2" t="s">
        <v>263</v>
      </c>
      <c r="C22" s="6">
        <v>46234</v>
      </c>
      <c r="D22" s="7">
        <v>2</v>
      </c>
      <c r="E22" s="2" t="s">
        <v>238</v>
      </c>
      <c r="F22" s="7">
        <f>SUMIFS(reg_DailyMortality[MortalityCount],reg_DailyMortality[FlockID],$B22,reg_DailyMortality[Date],"&lt;="&amp;$C22)</f>
        <v>32</v>
      </c>
      <c r="G22" s="2" t="s">
        <v>201</v>
      </c>
      <c r="H22" s="2" t="s">
        <v>231</v>
      </c>
    </row>
    <row r="23" spans="1:8" x14ac:dyDescent="0.3">
      <c r="A23" s="2" t="s">
        <v>294</v>
      </c>
      <c r="B23" s="2" t="s">
        <v>263</v>
      </c>
      <c r="C23" s="6">
        <v>46238</v>
      </c>
      <c r="D23" s="7">
        <v>1</v>
      </c>
      <c r="E23" s="2" t="s">
        <v>244</v>
      </c>
      <c r="F23" s="7">
        <f>SUMIFS(reg_DailyMortality[MortalityCount],reg_DailyMortality[FlockID],$B23,reg_DailyMortality[Date],"&lt;="&amp;$C23)</f>
        <v>33</v>
      </c>
      <c r="G23" s="2" t="s">
        <v>199</v>
      </c>
      <c r="H23" s="2" t="s">
        <v>231</v>
      </c>
    </row>
    <row r="24" spans="1:8" x14ac:dyDescent="0.3">
      <c r="A24" s="2" t="s">
        <v>295</v>
      </c>
      <c r="B24" s="2" t="s">
        <v>264</v>
      </c>
      <c r="C24" s="6">
        <v>46218</v>
      </c>
      <c r="D24" s="7">
        <v>7</v>
      </c>
      <c r="E24" s="2" t="s">
        <v>232</v>
      </c>
      <c r="F24" s="7">
        <f>SUMIFS(reg_DailyMortality[MortalityCount],reg_DailyMortality[FlockID],$B24,reg_DailyMortality[Date],"&lt;="&amp;$C24)</f>
        <v>7</v>
      </c>
      <c r="G24" s="2" t="s">
        <v>201</v>
      </c>
      <c r="H24" s="2" t="s">
        <v>231</v>
      </c>
    </row>
    <row r="25" spans="1:8" x14ac:dyDescent="0.3">
      <c r="A25" s="2" t="s">
        <v>296</v>
      </c>
      <c r="B25" s="2" t="s">
        <v>264</v>
      </c>
      <c r="C25" s="6">
        <v>46222</v>
      </c>
      <c r="D25" s="7">
        <v>6</v>
      </c>
      <c r="E25" s="2" t="s">
        <v>238</v>
      </c>
      <c r="F25" s="7">
        <f>SUMIFS(reg_DailyMortality[MortalityCount],reg_DailyMortality[FlockID],$B25,reg_DailyMortality[Date],"&lt;="&amp;$C25)</f>
        <v>13</v>
      </c>
      <c r="G25" s="2" t="s">
        <v>199</v>
      </c>
      <c r="H25" s="2" t="s">
        <v>231</v>
      </c>
    </row>
    <row r="26" spans="1:8" x14ac:dyDescent="0.3">
      <c r="A26" s="2" t="s">
        <v>297</v>
      </c>
      <c r="B26" s="2" t="s">
        <v>264</v>
      </c>
      <c r="C26" s="6">
        <v>46226</v>
      </c>
      <c r="D26" s="7">
        <v>1</v>
      </c>
      <c r="E26" s="2" t="s">
        <v>244</v>
      </c>
      <c r="F26" s="7">
        <f>SUMIFS(reg_DailyMortality[MortalityCount],reg_DailyMortality[FlockID],$B26,reg_DailyMortality[Date],"&lt;="&amp;$C26)</f>
        <v>14</v>
      </c>
      <c r="G26" s="2" t="s">
        <v>201</v>
      </c>
      <c r="H26" s="2" t="s">
        <v>231</v>
      </c>
    </row>
    <row r="27" spans="1:8" x14ac:dyDescent="0.3">
      <c r="A27" s="2" t="s">
        <v>298</v>
      </c>
      <c r="B27" s="2" t="s">
        <v>264</v>
      </c>
      <c r="C27" s="6">
        <v>46230</v>
      </c>
      <c r="D27" s="7">
        <v>3</v>
      </c>
      <c r="E27" s="2" t="s">
        <v>232</v>
      </c>
      <c r="F27" s="7">
        <f>SUMIFS(reg_DailyMortality[MortalityCount],reg_DailyMortality[FlockID],$B27,reg_DailyMortality[Date],"&lt;="&amp;$C27)</f>
        <v>17</v>
      </c>
      <c r="G27" s="2" t="s">
        <v>201</v>
      </c>
      <c r="H27" s="2" t="s">
        <v>231</v>
      </c>
    </row>
    <row r="28" spans="1:8" x14ac:dyDescent="0.3">
      <c r="A28" s="2" t="s">
        <v>299</v>
      </c>
      <c r="B28" s="2" t="s">
        <v>264</v>
      </c>
      <c r="C28" s="6">
        <v>46234</v>
      </c>
      <c r="D28" s="7">
        <v>2</v>
      </c>
      <c r="E28" s="2" t="s">
        <v>232</v>
      </c>
      <c r="F28" s="7">
        <f>SUMIFS(reg_DailyMortality[MortalityCount],reg_DailyMortality[FlockID],$B28,reg_DailyMortality[Date],"&lt;="&amp;$C28)</f>
        <v>19</v>
      </c>
      <c r="G28" s="2" t="s">
        <v>199</v>
      </c>
      <c r="H28" s="2" t="s">
        <v>231</v>
      </c>
    </row>
    <row r="29" spans="1:8" x14ac:dyDescent="0.3">
      <c r="A29" s="2" t="s">
        <v>300</v>
      </c>
      <c r="B29" s="2" t="s">
        <v>264</v>
      </c>
      <c r="C29" s="6">
        <v>46238</v>
      </c>
      <c r="D29" s="7">
        <v>1</v>
      </c>
      <c r="E29" s="2" t="s">
        <v>238</v>
      </c>
      <c r="F29" s="7">
        <f>SUMIFS(reg_DailyMortality[MortalityCount],reg_DailyMortality[FlockID],$B29,reg_DailyMortality[Date],"&lt;="&amp;$C29)</f>
        <v>20</v>
      </c>
      <c r="G29" s="2" t="s">
        <v>201</v>
      </c>
      <c r="H29" s="2" t="s">
        <v>231</v>
      </c>
    </row>
    <row r="30" spans="1:8" x14ac:dyDescent="0.3">
      <c r="A30" s="2" t="s">
        <v>301</v>
      </c>
      <c r="B30" s="2" t="s">
        <v>264</v>
      </c>
      <c r="C30" s="6">
        <v>46242</v>
      </c>
      <c r="D30" s="7">
        <v>2</v>
      </c>
      <c r="E30" s="2" t="s">
        <v>244</v>
      </c>
      <c r="F30" s="7">
        <f>SUMIFS(reg_DailyMortality[MortalityCount],reg_DailyMortality[FlockID],$B30,reg_DailyMortality[Date],"&lt;="&amp;$C30)</f>
        <v>22</v>
      </c>
      <c r="G30" s="2" t="s">
        <v>201</v>
      </c>
      <c r="H30" s="2" t="s">
        <v>231</v>
      </c>
    </row>
    <row r="31" spans="1:8" x14ac:dyDescent="0.3">
      <c r="A31" s="2" t="s">
        <v>302</v>
      </c>
      <c r="B31" s="2" t="s">
        <v>265</v>
      </c>
      <c r="C31" s="6">
        <v>46235</v>
      </c>
      <c r="D31" s="7">
        <v>8</v>
      </c>
      <c r="E31" s="2" t="s">
        <v>232</v>
      </c>
      <c r="F31" s="7">
        <f>SUMIFS(reg_DailyMortality[MortalityCount],reg_DailyMortality[FlockID],$B31,reg_DailyMortality[Date],"&lt;="&amp;$C31)</f>
        <v>8</v>
      </c>
      <c r="G31" s="2" t="s">
        <v>201</v>
      </c>
      <c r="H31" s="2" t="s">
        <v>231</v>
      </c>
    </row>
    <row r="32" spans="1:8" x14ac:dyDescent="0.3">
      <c r="A32" s="2" t="s">
        <v>303</v>
      </c>
      <c r="B32" s="2" t="s">
        <v>265</v>
      </c>
      <c r="C32" s="6">
        <v>46239</v>
      </c>
      <c r="D32" s="7">
        <v>7</v>
      </c>
      <c r="E32" s="2" t="s">
        <v>238</v>
      </c>
      <c r="F32" s="7">
        <f>SUMIFS(reg_DailyMortality[MortalityCount],reg_DailyMortality[FlockID],$B32,reg_DailyMortality[Date],"&lt;="&amp;$C32)</f>
        <v>15</v>
      </c>
      <c r="G32" s="2" t="s">
        <v>199</v>
      </c>
      <c r="H32" s="2" t="s">
        <v>231</v>
      </c>
    </row>
  </sheetData>
  <dataValidations count="2">
    <dataValidation type="list" sqref="E2:E32" xr:uid="{00000000-0002-0000-0C00-000000000000}">
      <formula1>List_MortalityCause</formula1>
    </dataValidation>
    <dataValidation type="list" sqref="B2:B82" xr:uid="{00000000-0002-0000-0C00-000001000000}">
      <formula1>FlockID_List</formula1>
    </dataValidation>
  </dataValidations>
  <pageMargins left="0.75" right="0.75" top="1" bottom="1" header="0.5" footer="0.5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548235"/>
  </sheetPr>
  <dimension ref="A1:I28"/>
  <sheetViews>
    <sheetView showGridLines="0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2" customWidth="1"/>
    <col min="2" max="2" width="10" customWidth="1"/>
    <col min="3" max="3" width="12" customWidth="1"/>
    <col min="4" max="4" width="10" customWidth="1"/>
    <col min="5" max="5" width="12" customWidth="1"/>
    <col min="6" max="6" width="14" customWidth="1"/>
    <col min="7" max="7" width="16" customWidth="1"/>
    <col min="8" max="8" width="14" customWidth="1"/>
    <col min="9" max="9" width="10" customWidth="1"/>
  </cols>
  <sheetData>
    <row r="1" spans="1:9" x14ac:dyDescent="0.3">
      <c r="A1" s="5" t="s">
        <v>266</v>
      </c>
      <c r="B1" s="5" t="s">
        <v>257</v>
      </c>
      <c r="C1" s="5" t="s">
        <v>267</v>
      </c>
      <c r="D1" s="5" t="s">
        <v>127</v>
      </c>
      <c r="E1" s="5" t="s">
        <v>304</v>
      </c>
      <c r="F1" s="5" t="s">
        <v>305</v>
      </c>
      <c r="G1" s="5" t="s">
        <v>306</v>
      </c>
      <c r="H1" s="5" t="s">
        <v>271</v>
      </c>
      <c r="I1" s="5" t="s">
        <v>272</v>
      </c>
    </row>
    <row r="2" spans="1:9" x14ac:dyDescent="0.3">
      <c r="A2" s="2" t="s">
        <v>307</v>
      </c>
      <c r="B2" s="2" t="s">
        <v>261</v>
      </c>
      <c r="C2" s="6">
        <v>46166</v>
      </c>
      <c r="D2" s="2">
        <v>1</v>
      </c>
      <c r="E2" s="8">
        <v>600</v>
      </c>
      <c r="F2" s="3">
        <f>ROUND($E2*INDEX(mst_FeedTypes[UnitCostPerKg_ZMW],MATCH($D2,mst_FeedTypes[FeedID],0)),2)</f>
        <v>7500</v>
      </c>
      <c r="G2" s="8">
        <f>SUMIFS(reg_FeedConsumption[KgUsed],reg_FeedConsumption[FlockID],$B2,reg_FeedConsumption[Date],"&lt;="&amp;$C2)</f>
        <v>600</v>
      </c>
      <c r="H2" s="2" t="s">
        <v>199</v>
      </c>
      <c r="I2" s="2" t="s">
        <v>231</v>
      </c>
    </row>
    <row r="3" spans="1:9" x14ac:dyDescent="0.3">
      <c r="A3" s="2" t="s">
        <v>308</v>
      </c>
      <c r="B3" s="2" t="s">
        <v>261</v>
      </c>
      <c r="C3" s="6">
        <v>46170</v>
      </c>
      <c r="D3" s="2">
        <v>1</v>
      </c>
      <c r="E3" s="8">
        <v>800</v>
      </c>
      <c r="F3" s="3">
        <f>ROUND($E3*INDEX(mst_FeedTypes[UnitCostPerKg_ZMW],MATCH($D3,mst_FeedTypes[FeedID],0)),2)</f>
        <v>10000</v>
      </c>
      <c r="G3" s="8">
        <f>SUMIFS(reg_FeedConsumption[KgUsed],reg_FeedConsumption[FlockID],$B3,reg_FeedConsumption[Date],"&lt;="&amp;$C3)</f>
        <v>1400</v>
      </c>
      <c r="H3" s="2" t="s">
        <v>201</v>
      </c>
      <c r="I3" s="2" t="s">
        <v>231</v>
      </c>
    </row>
    <row r="4" spans="1:9" x14ac:dyDescent="0.3">
      <c r="A4" s="2" t="s">
        <v>309</v>
      </c>
      <c r="B4" s="2" t="s">
        <v>261</v>
      </c>
      <c r="C4" s="6">
        <v>46174</v>
      </c>
      <c r="D4" s="2">
        <v>2</v>
      </c>
      <c r="E4" s="8">
        <v>1000</v>
      </c>
      <c r="F4" s="3">
        <f>ROUND($E4*INDEX(mst_FeedTypes[UnitCostPerKg_ZMW],MATCH($D4,mst_FeedTypes[FeedID],0)),2)</f>
        <v>11800</v>
      </c>
      <c r="G4" s="8">
        <f>SUMIFS(reg_FeedConsumption[KgUsed],reg_FeedConsumption[FlockID],$B4,reg_FeedConsumption[Date],"&lt;="&amp;$C4)</f>
        <v>2400</v>
      </c>
      <c r="H4" s="2" t="s">
        <v>201</v>
      </c>
      <c r="I4" s="2" t="s">
        <v>231</v>
      </c>
    </row>
    <row r="5" spans="1:9" x14ac:dyDescent="0.3">
      <c r="A5" s="2" t="s">
        <v>310</v>
      </c>
      <c r="B5" s="2" t="s">
        <v>261</v>
      </c>
      <c r="C5" s="6">
        <v>46178</v>
      </c>
      <c r="D5" s="2">
        <v>2</v>
      </c>
      <c r="E5" s="8">
        <v>1200</v>
      </c>
      <c r="F5" s="3">
        <f>ROUND($E5*INDEX(mst_FeedTypes[UnitCostPerKg_ZMW],MATCH($D5,mst_FeedTypes[FeedID],0)),2)</f>
        <v>14160</v>
      </c>
      <c r="G5" s="8">
        <f>SUMIFS(reg_FeedConsumption[KgUsed],reg_FeedConsumption[FlockID],$B5,reg_FeedConsumption[Date],"&lt;="&amp;$C5)</f>
        <v>3600</v>
      </c>
      <c r="H5" s="2" t="s">
        <v>199</v>
      </c>
      <c r="I5" s="2" t="s">
        <v>231</v>
      </c>
    </row>
    <row r="6" spans="1:9" x14ac:dyDescent="0.3">
      <c r="A6" s="2" t="s">
        <v>311</v>
      </c>
      <c r="B6" s="2" t="s">
        <v>261</v>
      </c>
      <c r="C6" s="6">
        <v>46182</v>
      </c>
      <c r="D6" s="2">
        <v>2</v>
      </c>
      <c r="E6" s="8">
        <v>1400</v>
      </c>
      <c r="F6" s="3">
        <f>ROUND($E6*INDEX(mst_FeedTypes[UnitCostPerKg_ZMW],MATCH($D6,mst_FeedTypes[FeedID],0)),2)</f>
        <v>16520</v>
      </c>
      <c r="G6" s="8">
        <f>SUMIFS(reg_FeedConsumption[KgUsed],reg_FeedConsumption[FlockID],$B6,reg_FeedConsumption[Date],"&lt;="&amp;$C6)</f>
        <v>5000</v>
      </c>
      <c r="H6" s="2" t="s">
        <v>201</v>
      </c>
      <c r="I6" s="2" t="s">
        <v>231</v>
      </c>
    </row>
    <row r="7" spans="1:9" x14ac:dyDescent="0.3">
      <c r="A7" s="2" t="s">
        <v>312</v>
      </c>
      <c r="B7" s="2" t="s">
        <v>261</v>
      </c>
      <c r="C7" s="6">
        <v>46186</v>
      </c>
      <c r="D7" s="2">
        <v>2</v>
      </c>
      <c r="E7" s="8">
        <v>1600</v>
      </c>
      <c r="F7" s="3">
        <f>ROUND($E7*INDEX(mst_FeedTypes[UnitCostPerKg_ZMW],MATCH($D7,mst_FeedTypes[FeedID],0)),2)</f>
        <v>18880</v>
      </c>
      <c r="G7" s="8">
        <f>SUMIFS(reg_FeedConsumption[KgUsed],reg_FeedConsumption[FlockID],$B7,reg_FeedConsumption[Date],"&lt;="&amp;$C7)</f>
        <v>6600</v>
      </c>
      <c r="H7" s="2" t="s">
        <v>201</v>
      </c>
      <c r="I7" s="2" t="s">
        <v>231</v>
      </c>
    </row>
    <row r="8" spans="1:9" x14ac:dyDescent="0.3">
      <c r="A8" s="2" t="s">
        <v>313</v>
      </c>
      <c r="B8" s="2" t="s">
        <v>261</v>
      </c>
      <c r="C8" s="6">
        <v>46190</v>
      </c>
      <c r="D8" s="2">
        <v>3</v>
      </c>
      <c r="E8" s="8">
        <v>1800</v>
      </c>
      <c r="F8" s="3">
        <f>ROUND($E8*INDEX(mst_FeedTypes[UnitCostPerKg_ZMW],MATCH($D8,mst_FeedTypes[FeedID],0)),2)</f>
        <v>20160</v>
      </c>
      <c r="G8" s="8">
        <f>SUMIFS(reg_FeedConsumption[KgUsed],reg_FeedConsumption[FlockID],$B8,reg_FeedConsumption[Date],"&lt;="&amp;$C8)</f>
        <v>8400</v>
      </c>
      <c r="H8" s="2" t="s">
        <v>199</v>
      </c>
      <c r="I8" s="2" t="s">
        <v>231</v>
      </c>
    </row>
    <row r="9" spans="1:9" x14ac:dyDescent="0.3">
      <c r="A9" s="2" t="s">
        <v>314</v>
      </c>
      <c r="B9" s="2" t="s">
        <v>261</v>
      </c>
      <c r="C9" s="6">
        <v>46194</v>
      </c>
      <c r="D9" s="2">
        <v>3</v>
      </c>
      <c r="E9" s="8">
        <v>2000</v>
      </c>
      <c r="F9" s="3">
        <f>ROUND($E9*INDEX(mst_FeedTypes[UnitCostPerKg_ZMW],MATCH($D9,mst_FeedTypes[FeedID],0)),2)</f>
        <v>22400</v>
      </c>
      <c r="G9" s="8">
        <f>SUMIFS(reg_FeedConsumption[KgUsed],reg_FeedConsumption[FlockID],$B9,reg_FeedConsumption[Date],"&lt;="&amp;$C9)</f>
        <v>10400</v>
      </c>
      <c r="H9" s="2" t="s">
        <v>201</v>
      </c>
      <c r="I9" s="2" t="s">
        <v>231</v>
      </c>
    </row>
    <row r="10" spans="1:9" x14ac:dyDescent="0.3">
      <c r="A10" s="2" t="s">
        <v>315</v>
      </c>
      <c r="B10" s="2" t="s">
        <v>261</v>
      </c>
      <c r="C10" s="6">
        <v>46198</v>
      </c>
      <c r="D10" s="2">
        <v>3</v>
      </c>
      <c r="E10" s="8">
        <v>2200</v>
      </c>
      <c r="F10" s="3">
        <f>ROUND($E10*INDEX(mst_FeedTypes[UnitCostPerKg_ZMW],MATCH($D10,mst_FeedTypes[FeedID],0)),2)</f>
        <v>24640</v>
      </c>
      <c r="G10" s="8">
        <f>SUMIFS(reg_FeedConsumption[KgUsed],reg_FeedConsumption[FlockID],$B10,reg_FeedConsumption[Date],"&lt;="&amp;$C10)</f>
        <v>12600</v>
      </c>
      <c r="H10" s="2" t="s">
        <v>201</v>
      </c>
      <c r="I10" s="2" t="s">
        <v>231</v>
      </c>
    </row>
    <row r="11" spans="1:9" x14ac:dyDescent="0.3">
      <c r="A11" s="2" t="s">
        <v>316</v>
      </c>
      <c r="B11" s="2" t="s">
        <v>261</v>
      </c>
      <c r="C11" s="6">
        <v>46202</v>
      </c>
      <c r="D11" s="2">
        <v>3</v>
      </c>
      <c r="E11" s="8">
        <v>2400</v>
      </c>
      <c r="F11" s="3">
        <f>ROUND($E11*INDEX(mst_FeedTypes[UnitCostPerKg_ZMW],MATCH($D11,mst_FeedTypes[FeedID],0)),2)</f>
        <v>26880</v>
      </c>
      <c r="G11" s="8">
        <f>SUMIFS(reg_FeedConsumption[KgUsed],reg_FeedConsumption[FlockID],$B11,reg_FeedConsumption[Date],"&lt;="&amp;$C11)</f>
        <v>15000</v>
      </c>
      <c r="H11" s="2" t="s">
        <v>199</v>
      </c>
      <c r="I11" s="2" t="s">
        <v>231</v>
      </c>
    </row>
    <row r="12" spans="1:9" x14ac:dyDescent="0.3">
      <c r="A12" s="2" t="s">
        <v>317</v>
      </c>
      <c r="B12" s="2" t="s">
        <v>263</v>
      </c>
      <c r="C12" s="6">
        <v>46202</v>
      </c>
      <c r="D12" s="2">
        <v>1</v>
      </c>
      <c r="E12" s="8">
        <v>720</v>
      </c>
      <c r="F12" s="3">
        <f>ROUND($E12*INDEX(mst_FeedTypes[UnitCostPerKg_ZMW],MATCH($D12,mst_FeedTypes[FeedID],0)),2)</f>
        <v>9000</v>
      </c>
      <c r="G12" s="8">
        <f>SUMIFS(reg_FeedConsumption[KgUsed],reg_FeedConsumption[FlockID],$B12,reg_FeedConsumption[Date],"&lt;="&amp;$C12)</f>
        <v>720</v>
      </c>
      <c r="H12" s="2" t="s">
        <v>199</v>
      </c>
      <c r="I12" s="2" t="s">
        <v>231</v>
      </c>
    </row>
    <row r="13" spans="1:9" x14ac:dyDescent="0.3">
      <c r="A13" s="2" t="s">
        <v>318</v>
      </c>
      <c r="B13" s="2" t="s">
        <v>263</v>
      </c>
      <c r="C13" s="6">
        <v>46206</v>
      </c>
      <c r="D13" s="2">
        <v>1</v>
      </c>
      <c r="E13" s="8">
        <v>960</v>
      </c>
      <c r="F13" s="3">
        <f>ROUND($E13*INDEX(mst_FeedTypes[UnitCostPerKg_ZMW],MATCH($D13,mst_FeedTypes[FeedID],0)),2)</f>
        <v>12000</v>
      </c>
      <c r="G13" s="8">
        <f>SUMIFS(reg_FeedConsumption[KgUsed],reg_FeedConsumption[FlockID],$B13,reg_FeedConsumption[Date],"&lt;="&amp;$C13)</f>
        <v>1680</v>
      </c>
      <c r="H13" s="2" t="s">
        <v>201</v>
      </c>
      <c r="I13" s="2" t="s">
        <v>231</v>
      </c>
    </row>
    <row r="14" spans="1:9" x14ac:dyDescent="0.3">
      <c r="A14" s="2" t="s">
        <v>319</v>
      </c>
      <c r="B14" s="2" t="s">
        <v>263</v>
      </c>
      <c r="C14" s="6">
        <v>46210</v>
      </c>
      <c r="D14" s="2">
        <v>2</v>
      </c>
      <c r="E14" s="8">
        <v>1200</v>
      </c>
      <c r="F14" s="3">
        <f>ROUND($E14*INDEX(mst_FeedTypes[UnitCostPerKg_ZMW],MATCH($D14,mst_FeedTypes[FeedID],0)),2)</f>
        <v>14160</v>
      </c>
      <c r="G14" s="8">
        <f>SUMIFS(reg_FeedConsumption[KgUsed],reg_FeedConsumption[FlockID],$B14,reg_FeedConsumption[Date],"&lt;="&amp;$C14)</f>
        <v>2880</v>
      </c>
      <c r="H14" s="2" t="s">
        <v>201</v>
      </c>
      <c r="I14" s="2" t="s">
        <v>231</v>
      </c>
    </row>
    <row r="15" spans="1:9" x14ac:dyDescent="0.3">
      <c r="A15" s="2" t="s">
        <v>320</v>
      </c>
      <c r="B15" s="2" t="s">
        <v>263</v>
      </c>
      <c r="C15" s="6">
        <v>46214</v>
      </c>
      <c r="D15" s="2">
        <v>2</v>
      </c>
      <c r="E15" s="8">
        <v>1440</v>
      </c>
      <c r="F15" s="3">
        <f>ROUND($E15*INDEX(mst_FeedTypes[UnitCostPerKg_ZMW],MATCH($D15,mst_FeedTypes[FeedID],0)),2)</f>
        <v>16992</v>
      </c>
      <c r="G15" s="8">
        <f>SUMIFS(reg_FeedConsumption[KgUsed],reg_FeedConsumption[FlockID],$B15,reg_FeedConsumption[Date],"&lt;="&amp;$C15)</f>
        <v>4320</v>
      </c>
      <c r="H15" s="2" t="s">
        <v>199</v>
      </c>
      <c r="I15" s="2" t="s">
        <v>231</v>
      </c>
    </row>
    <row r="16" spans="1:9" x14ac:dyDescent="0.3">
      <c r="A16" s="2" t="s">
        <v>321</v>
      </c>
      <c r="B16" s="2" t="s">
        <v>263</v>
      </c>
      <c r="C16" s="6">
        <v>46218</v>
      </c>
      <c r="D16" s="2">
        <v>2</v>
      </c>
      <c r="E16" s="8">
        <v>1680</v>
      </c>
      <c r="F16" s="3">
        <f>ROUND($E16*INDEX(mst_FeedTypes[UnitCostPerKg_ZMW],MATCH($D16,mst_FeedTypes[FeedID],0)),2)</f>
        <v>19824</v>
      </c>
      <c r="G16" s="8">
        <f>SUMIFS(reg_FeedConsumption[KgUsed],reg_FeedConsumption[FlockID],$B16,reg_FeedConsumption[Date],"&lt;="&amp;$C16)</f>
        <v>6000</v>
      </c>
      <c r="H16" s="2" t="s">
        <v>201</v>
      </c>
      <c r="I16" s="2" t="s">
        <v>231</v>
      </c>
    </row>
    <row r="17" spans="1:9" x14ac:dyDescent="0.3">
      <c r="A17" s="2" t="s">
        <v>322</v>
      </c>
      <c r="B17" s="2" t="s">
        <v>263</v>
      </c>
      <c r="C17" s="6">
        <v>46222</v>
      </c>
      <c r="D17" s="2">
        <v>2</v>
      </c>
      <c r="E17" s="8">
        <v>1920</v>
      </c>
      <c r="F17" s="3">
        <f>ROUND($E17*INDEX(mst_FeedTypes[UnitCostPerKg_ZMW],MATCH($D17,mst_FeedTypes[FeedID],0)),2)</f>
        <v>22656</v>
      </c>
      <c r="G17" s="8">
        <f>SUMIFS(reg_FeedConsumption[KgUsed],reg_FeedConsumption[FlockID],$B17,reg_FeedConsumption[Date],"&lt;="&amp;$C17)</f>
        <v>7920</v>
      </c>
      <c r="H17" s="2" t="s">
        <v>201</v>
      </c>
      <c r="I17" s="2" t="s">
        <v>231</v>
      </c>
    </row>
    <row r="18" spans="1:9" x14ac:dyDescent="0.3">
      <c r="A18" s="2" t="s">
        <v>323</v>
      </c>
      <c r="B18" s="2" t="s">
        <v>263</v>
      </c>
      <c r="C18" s="6">
        <v>46226</v>
      </c>
      <c r="D18" s="2">
        <v>3</v>
      </c>
      <c r="E18" s="8">
        <v>2160</v>
      </c>
      <c r="F18" s="3">
        <f>ROUND($E18*INDEX(mst_FeedTypes[UnitCostPerKg_ZMW],MATCH($D18,mst_FeedTypes[FeedID],0)),2)</f>
        <v>24192</v>
      </c>
      <c r="G18" s="8">
        <f>SUMIFS(reg_FeedConsumption[KgUsed],reg_FeedConsumption[FlockID],$B18,reg_FeedConsumption[Date],"&lt;="&amp;$C18)</f>
        <v>10080</v>
      </c>
      <c r="H18" s="2" t="s">
        <v>199</v>
      </c>
      <c r="I18" s="2" t="s">
        <v>231</v>
      </c>
    </row>
    <row r="19" spans="1:9" x14ac:dyDescent="0.3">
      <c r="A19" s="2" t="s">
        <v>324</v>
      </c>
      <c r="B19" s="2" t="s">
        <v>263</v>
      </c>
      <c r="C19" s="6">
        <v>46230</v>
      </c>
      <c r="D19" s="2">
        <v>3</v>
      </c>
      <c r="E19" s="8">
        <v>2400</v>
      </c>
      <c r="F19" s="3">
        <f>ROUND($E19*INDEX(mst_FeedTypes[UnitCostPerKg_ZMW],MATCH($D19,mst_FeedTypes[FeedID],0)),2)</f>
        <v>26880</v>
      </c>
      <c r="G19" s="8">
        <f>SUMIFS(reg_FeedConsumption[KgUsed],reg_FeedConsumption[FlockID],$B19,reg_FeedConsumption[Date],"&lt;="&amp;$C19)</f>
        <v>12480</v>
      </c>
      <c r="H19" s="2" t="s">
        <v>201</v>
      </c>
      <c r="I19" s="2" t="s">
        <v>231</v>
      </c>
    </row>
    <row r="20" spans="1:9" x14ac:dyDescent="0.3">
      <c r="A20" s="2" t="s">
        <v>325</v>
      </c>
      <c r="B20" s="2" t="s">
        <v>263</v>
      </c>
      <c r="C20" s="6">
        <v>46234</v>
      </c>
      <c r="D20" s="2">
        <v>3</v>
      </c>
      <c r="E20" s="8">
        <v>2640</v>
      </c>
      <c r="F20" s="3">
        <f>ROUND($E20*INDEX(mst_FeedTypes[UnitCostPerKg_ZMW],MATCH($D20,mst_FeedTypes[FeedID],0)),2)</f>
        <v>29568</v>
      </c>
      <c r="G20" s="8">
        <f>SUMIFS(reg_FeedConsumption[KgUsed],reg_FeedConsumption[FlockID],$B20,reg_FeedConsumption[Date],"&lt;="&amp;$C20)</f>
        <v>15120</v>
      </c>
      <c r="H20" s="2" t="s">
        <v>201</v>
      </c>
      <c r="I20" s="2" t="s">
        <v>231</v>
      </c>
    </row>
    <row r="21" spans="1:9" x14ac:dyDescent="0.3">
      <c r="A21" s="2" t="s">
        <v>326</v>
      </c>
      <c r="B21" s="2" t="s">
        <v>263</v>
      </c>
      <c r="C21" s="6">
        <v>46238</v>
      </c>
      <c r="D21" s="2">
        <v>3</v>
      </c>
      <c r="E21" s="8">
        <v>2880</v>
      </c>
      <c r="F21" s="3">
        <f>ROUND($E21*INDEX(mst_FeedTypes[UnitCostPerKg_ZMW],MATCH($D21,mst_FeedTypes[FeedID],0)),2)</f>
        <v>32256</v>
      </c>
      <c r="G21" s="8">
        <f>SUMIFS(reg_FeedConsumption[KgUsed],reg_FeedConsumption[FlockID],$B21,reg_FeedConsumption[Date],"&lt;="&amp;$C21)</f>
        <v>18000</v>
      </c>
      <c r="H21" s="2" t="s">
        <v>199</v>
      </c>
      <c r="I21" s="2" t="s">
        <v>231</v>
      </c>
    </row>
    <row r="22" spans="1:9" x14ac:dyDescent="0.3">
      <c r="A22" s="2" t="s">
        <v>327</v>
      </c>
      <c r="B22" s="2" t="s">
        <v>264</v>
      </c>
      <c r="C22" s="6">
        <v>46222</v>
      </c>
      <c r="D22" s="2">
        <v>1</v>
      </c>
      <c r="E22" s="8">
        <v>408</v>
      </c>
      <c r="F22" s="3">
        <f>ROUND($E22*INDEX(mst_FeedTypes[UnitCostPerKg_ZMW],MATCH($D22,mst_FeedTypes[FeedID],0)),2)</f>
        <v>5100</v>
      </c>
      <c r="G22" s="8">
        <f>SUMIFS(reg_FeedConsumption[KgUsed],reg_FeedConsumption[FlockID],$B22,reg_FeedConsumption[Date],"&lt;="&amp;$C22)</f>
        <v>408</v>
      </c>
      <c r="H22" s="2" t="s">
        <v>199</v>
      </c>
      <c r="I22" s="2" t="s">
        <v>231</v>
      </c>
    </row>
    <row r="23" spans="1:9" x14ac:dyDescent="0.3">
      <c r="A23" s="2" t="s">
        <v>328</v>
      </c>
      <c r="B23" s="2" t="s">
        <v>264</v>
      </c>
      <c r="C23" s="6">
        <v>46226</v>
      </c>
      <c r="D23" s="2">
        <v>1</v>
      </c>
      <c r="E23" s="8">
        <v>544</v>
      </c>
      <c r="F23" s="3">
        <f>ROUND($E23*INDEX(mst_FeedTypes[UnitCostPerKg_ZMW],MATCH($D23,mst_FeedTypes[FeedID],0)),2)</f>
        <v>6800</v>
      </c>
      <c r="G23" s="8">
        <f>SUMIFS(reg_FeedConsumption[KgUsed],reg_FeedConsumption[FlockID],$B23,reg_FeedConsumption[Date],"&lt;="&amp;$C23)</f>
        <v>952</v>
      </c>
      <c r="H23" s="2" t="s">
        <v>201</v>
      </c>
      <c r="I23" s="2" t="s">
        <v>231</v>
      </c>
    </row>
    <row r="24" spans="1:9" x14ac:dyDescent="0.3">
      <c r="A24" s="2" t="s">
        <v>329</v>
      </c>
      <c r="B24" s="2" t="s">
        <v>264</v>
      </c>
      <c r="C24" s="6">
        <v>46230</v>
      </c>
      <c r="D24" s="2">
        <v>2</v>
      </c>
      <c r="E24" s="8">
        <v>680</v>
      </c>
      <c r="F24" s="3">
        <f>ROUND($E24*INDEX(mst_FeedTypes[UnitCostPerKg_ZMW],MATCH($D24,mst_FeedTypes[FeedID],0)),2)</f>
        <v>8024</v>
      </c>
      <c r="G24" s="8">
        <f>SUMIFS(reg_FeedConsumption[KgUsed],reg_FeedConsumption[FlockID],$B24,reg_FeedConsumption[Date],"&lt;="&amp;$C24)</f>
        <v>1632</v>
      </c>
      <c r="H24" s="2" t="s">
        <v>201</v>
      </c>
      <c r="I24" s="2" t="s">
        <v>231</v>
      </c>
    </row>
    <row r="25" spans="1:9" x14ac:dyDescent="0.3">
      <c r="A25" s="2" t="s">
        <v>330</v>
      </c>
      <c r="B25" s="2" t="s">
        <v>264</v>
      </c>
      <c r="C25" s="6">
        <v>46234</v>
      </c>
      <c r="D25" s="2">
        <v>2</v>
      </c>
      <c r="E25" s="8">
        <v>816</v>
      </c>
      <c r="F25" s="3">
        <f>ROUND($E25*INDEX(mst_FeedTypes[UnitCostPerKg_ZMW],MATCH($D25,mst_FeedTypes[FeedID],0)),2)</f>
        <v>9628.7999999999993</v>
      </c>
      <c r="G25" s="8">
        <f>SUMIFS(reg_FeedConsumption[KgUsed],reg_FeedConsumption[FlockID],$B25,reg_FeedConsumption[Date],"&lt;="&amp;$C25)</f>
        <v>2448</v>
      </c>
      <c r="H25" s="2" t="s">
        <v>199</v>
      </c>
      <c r="I25" s="2" t="s">
        <v>231</v>
      </c>
    </row>
    <row r="26" spans="1:9" x14ac:dyDescent="0.3">
      <c r="A26" s="2" t="s">
        <v>331</v>
      </c>
      <c r="B26" s="2" t="s">
        <v>264</v>
      </c>
      <c r="C26" s="6">
        <v>46238</v>
      </c>
      <c r="D26" s="2">
        <v>2</v>
      </c>
      <c r="E26" s="8">
        <v>952</v>
      </c>
      <c r="F26" s="3">
        <f>ROUND($E26*INDEX(mst_FeedTypes[UnitCostPerKg_ZMW],MATCH($D26,mst_FeedTypes[FeedID],0)),2)</f>
        <v>11233.6</v>
      </c>
      <c r="G26" s="8">
        <f>SUMIFS(reg_FeedConsumption[KgUsed],reg_FeedConsumption[FlockID],$B26,reg_FeedConsumption[Date],"&lt;="&amp;$C26)</f>
        <v>3400</v>
      </c>
      <c r="H26" s="2" t="s">
        <v>201</v>
      </c>
      <c r="I26" s="2" t="s">
        <v>231</v>
      </c>
    </row>
    <row r="27" spans="1:9" x14ac:dyDescent="0.3">
      <c r="A27" s="2" t="s">
        <v>332</v>
      </c>
      <c r="B27" s="2" t="s">
        <v>264</v>
      </c>
      <c r="C27" s="6">
        <v>46242</v>
      </c>
      <c r="D27" s="2">
        <v>2</v>
      </c>
      <c r="E27" s="8">
        <v>1088</v>
      </c>
      <c r="F27" s="3">
        <f>ROUND($E27*INDEX(mst_FeedTypes[UnitCostPerKg_ZMW],MATCH($D27,mst_FeedTypes[FeedID],0)),2)</f>
        <v>12838.4</v>
      </c>
      <c r="G27" s="8">
        <f>SUMIFS(reg_FeedConsumption[KgUsed],reg_FeedConsumption[FlockID],$B27,reg_FeedConsumption[Date],"&lt;="&amp;$C27)</f>
        <v>4488</v>
      </c>
      <c r="H27" s="2" t="s">
        <v>201</v>
      </c>
      <c r="I27" s="2" t="s">
        <v>231</v>
      </c>
    </row>
    <row r="28" spans="1:9" x14ac:dyDescent="0.3">
      <c r="A28" s="2" t="s">
        <v>333</v>
      </c>
      <c r="B28" s="2" t="s">
        <v>265</v>
      </c>
      <c r="C28" s="6">
        <v>46239</v>
      </c>
      <c r="D28" s="2">
        <v>1</v>
      </c>
      <c r="E28" s="8">
        <v>630</v>
      </c>
      <c r="F28" s="3">
        <f>ROUND($E28*INDEX(mst_FeedTypes[UnitCostPerKg_ZMW],MATCH($D28,mst_FeedTypes[FeedID],0)),2)</f>
        <v>7875</v>
      </c>
      <c r="G28" s="8">
        <f>SUMIFS(reg_FeedConsumption[KgUsed],reg_FeedConsumption[FlockID],$B28,reg_FeedConsumption[Date],"&lt;="&amp;$C28)</f>
        <v>630</v>
      </c>
      <c r="H28" s="2" t="s">
        <v>199</v>
      </c>
      <c r="I28" s="2" t="s">
        <v>231</v>
      </c>
    </row>
  </sheetData>
  <dataValidations count="2">
    <dataValidation type="list" sqref="D2:D78" xr:uid="{00000000-0002-0000-0D00-000000000000}">
      <formula1>FeedID_List</formula1>
    </dataValidation>
    <dataValidation type="list" sqref="B2:B78" xr:uid="{00000000-0002-0000-0D00-000001000000}">
      <formula1>FlockID_List</formula1>
    </dataValidation>
  </dataValidations>
  <pageMargins left="0.75" right="0.75" top="1" bottom="1" header="0.5" footer="0.5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548235"/>
  </sheetPr>
  <dimension ref="A1:J17"/>
  <sheetViews>
    <sheetView showGridLines="0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2" customWidth="1"/>
    <col min="2" max="2" width="10" customWidth="1"/>
    <col min="3" max="3" width="12" customWidth="1"/>
    <col min="4" max="4" width="10" customWidth="1"/>
    <col min="5" max="5" width="12" customWidth="1"/>
    <col min="6" max="6" width="16" customWidth="1"/>
    <col min="7" max="8" width="10" customWidth="1"/>
    <col min="9" max="9" width="14" customWidth="1"/>
    <col min="10" max="10" width="10" customWidth="1"/>
  </cols>
  <sheetData>
    <row r="1" spans="1:10" ht="26.4" x14ac:dyDescent="0.3">
      <c r="A1" s="5" t="s">
        <v>266</v>
      </c>
      <c r="B1" s="5" t="s">
        <v>257</v>
      </c>
      <c r="C1" s="5" t="s">
        <v>267</v>
      </c>
      <c r="D1" s="5" t="s">
        <v>334</v>
      </c>
      <c r="E1" s="5" t="s">
        <v>335</v>
      </c>
      <c r="F1" s="5" t="s">
        <v>336</v>
      </c>
      <c r="G1" s="5" t="s">
        <v>337</v>
      </c>
      <c r="H1" s="5" t="s">
        <v>338</v>
      </c>
      <c r="I1" s="5" t="s">
        <v>271</v>
      </c>
      <c r="J1" s="5" t="s">
        <v>272</v>
      </c>
    </row>
    <row r="2" spans="1:10" x14ac:dyDescent="0.3">
      <c r="A2" s="2" t="s">
        <v>339</v>
      </c>
      <c r="B2" s="2" t="s">
        <v>261</v>
      </c>
      <c r="C2" s="6">
        <v>46169</v>
      </c>
      <c r="D2" s="2">
        <v>1</v>
      </c>
      <c r="E2" s="2">
        <v>50</v>
      </c>
      <c r="F2" s="7">
        <v>180</v>
      </c>
      <c r="G2" s="7">
        <f>$C2-INDEX(reg_Flocks[PlacedDate],MATCH($B2,reg_Flocks[FlockID],0))</f>
        <v>7</v>
      </c>
      <c r="H2" s="8">
        <f t="shared" ref="H2:H17" si="0">IFERROR($F2/$G2,0)</f>
        <v>25.714285714285715</v>
      </c>
      <c r="I2" s="2" t="s">
        <v>199</v>
      </c>
      <c r="J2" s="2" t="s">
        <v>231</v>
      </c>
    </row>
    <row r="3" spans="1:10" x14ac:dyDescent="0.3">
      <c r="A3" s="2" t="s">
        <v>340</v>
      </c>
      <c r="B3" s="2" t="s">
        <v>261</v>
      </c>
      <c r="C3" s="6">
        <v>46176</v>
      </c>
      <c r="D3" s="2">
        <v>2</v>
      </c>
      <c r="E3" s="2">
        <v>50</v>
      </c>
      <c r="F3" s="7">
        <v>430</v>
      </c>
      <c r="G3" s="7">
        <f>$C3-INDEX(reg_Flocks[PlacedDate],MATCH($B3,reg_Flocks[FlockID],0))</f>
        <v>14</v>
      </c>
      <c r="H3" s="8">
        <f t="shared" si="0"/>
        <v>30.714285714285715</v>
      </c>
      <c r="I3" s="2" t="s">
        <v>201</v>
      </c>
      <c r="J3" s="2" t="s">
        <v>231</v>
      </c>
    </row>
    <row r="4" spans="1:10" x14ac:dyDescent="0.3">
      <c r="A4" s="2" t="s">
        <v>341</v>
      </c>
      <c r="B4" s="2" t="s">
        <v>261</v>
      </c>
      <c r="C4" s="6">
        <v>46183</v>
      </c>
      <c r="D4" s="2">
        <v>3</v>
      </c>
      <c r="E4" s="2">
        <v>50</v>
      </c>
      <c r="F4" s="7">
        <v>800</v>
      </c>
      <c r="G4" s="7">
        <f>$C4-INDEX(reg_Flocks[PlacedDate],MATCH($B4,reg_Flocks[FlockID],0))</f>
        <v>21</v>
      </c>
      <c r="H4" s="8">
        <f t="shared" si="0"/>
        <v>38.095238095238095</v>
      </c>
      <c r="I4" s="2" t="s">
        <v>201</v>
      </c>
      <c r="J4" s="2" t="s">
        <v>231</v>
      </c>
    </row>
    <row r="5" spans="1:10" x14ac:dyDescent="0.3">
      <c r="A5" s="2" t="s">
        <v>342</v>
      </c>
      <c r="B5" s="2" t="s">
        <v>261</v>
      </c>
      <c r="C5" s="6">
        <v>46190</v>
      </c>
      <c r="D5" s="2">
        <v>4</v>
      </c>
      <c r="E5" s="2">
        <v>50</v>
      </c>
      <c r="F5" s="7">
        <v>1300</v>
      </c>
      <c r="G5" s="7">
        <f>$C5-INDEX(reg_Flocks[PlacedDate],MATCH($B5,reg_Flocks[FlockID],0))</f>
        <v>28</v>
      </c>
      <c r="H5" s="8">
        <f t="shared" si="0"/>
        <v>46.428571428571431</v>
      </c>
      <c r="I5" s="2" t="s">
        <v>199</v>
      </c>
      <c r="J5" s="2" t="s">
        <v>231</v>
      </c>
    </row>
    <row r="6" spans="1:10" x14ac:dyDescent="0.3">
      <c r="A6" s="2" t="s">
        <v>343</v>
      </c>
      <c r="B6" s="2" t="s">
        <v>261</v>
      </c>
      <c r="C6" s="6">
        <v>46197</v>
      </c>
      <c r="D6" s="2">
        <v>5</v>
      </c>
      <c r="E6" s="2">
        <v>50</v>
      </c>
      <c r="F6" s="7">
        <v>1850</v>
      </c>
      <c r="G6" s="7">
        <f>$C6-INDEX(reg_Flocks[PlacedDate],MATCH($B6,reg_Flocks[FlockID],0))</f>
        <v>35</v>
      </c>
      <c r="H6" s="8">
        <f t="shared" si="0"/>
        <v>52.857142857142854</v>
      </c>
      <c r="I6" s="2" t="s">
        <v>201</v>
      </c>
      <c r="J6" s="2" t="s">
        <v>231</v>
      </c>
    </row>
    <row r="7" spans="1:10" x14ac:dyDescent="0.3">
      <c r="A7" s="2" t="s">
        <v>344</v>
      </c>
      <c r="B7" s="2" t="s">
        <v>261</v>
      </c>
      <c r="C7" s="6">
        <v>46204</v>
      </c>
      <c r="D7" s="2">
        <v>6</v>
      </c>
      <c r="E7" s="2">
        <v>50</v>
      </c>
      <c r="F7" s="7">
        <v>2400</v>
      </c>
      <c r="G7" s="7">
        <f>$C7-INDEX(reg_Flocks[PlacedDate],MATCH($B7,reg_Flocks[FlockID],0))</f>
        <v>42</v>
      </c>
      <c r="H7" s="8">
        <f t="shared" si="0"/>
        <v>57.142857142857146</v>
      </c>
      <c r="I7" s="2" t="s">
        <v>201</v>
      </c>
      <c r="J7" s="2" t="s">
        <v>231</v>
      </c>
    </row>
    <row r="8" spans="1:10" x14ac:dyDescent="0.3">
      <c r="A8" s="2" t="s">
        <v>345</v>
      </c>
      <c r="B8" s="2" t="s">
        <v>263</v>
      </c>
      <c r="C8" s="6">
        <v>46205</v>
      </c>
      <c r="D8" s="2">
        <v>1</v>
      </c>
      <c r="E8" s="2">
        <v>50</v>
      </c>
      <c r="F8" s="7">
        <v>180</v>
      </c>
      <c r="G8" s="7">
        <f>$C8-INDEX(reg_Flocks[PlacedDate],MATCH($B8,reg_Flocks[FlockID],0))</f>
        <v>7</v>
      </c>
      <c r="H8" s="8">
        <f t="shared" si="0"/>
        <v>25.714285714285715</v>
      </c>
      <c r="I8" s="2" t="s">
        <v>199</v>
      </c>
      <c r="J8" s="2" t="s">
        <v>231</v>
      </c>
    </row>
    <row r="9" spans="1:10" x14ac:dyDescent="0.3">
      <c r="A9" s="2" t="s">
        <v>346</v>
      </c>
      <c r="B9" s="2" t="s">
        <v>263</v>
      </c>
      <c r="C9" s="6">
        <v>46212</v>
      </c>
      <c r="D9" s="2">
        <v>2</v>
      </c>
      <c r="E9" s="2">
        <v>50</v>
      </c>
      <c r="F9" s="7">
        <v>430</v>
      </c>
      <c r="G9" s="7">
        <f>$C9-INDEX(reg_Flocks[PlacedDate],MATCH($B9,reg_Flocks[FlockID],0))</f>
        <v>14</v>
      </c>
      <c r="H9" s="8">
        <f t="shared" si="0"/>
        <v>30.714285714285715</v>
      </c>
      <c r="I9" s="2" t="s">
        <v>201</v>
      </c>
      <c r="J9" s="2" t="s">
        <v>231</v>
      </c>
    </row>
    <row r="10" spans="1:10" x14ac:dyDescent="0.3">
      <c r="A10" s="2" t="s">
        <v>347</v>
      </c>
      <c r="B10" s="2" t="s">
        <v>263</v>
      </c>
      <c r="C10" s="6">
        <v>46219</v>
      </c>
      <c r="D10" s="2">
        <v>3</v>
      </c>
      <c r="E10" s="2">
        <v>50</v>
      </c>
      <c r="F10" s="7">
        <v>800</v>
      </c>
      <c r="G10" s="7">
        <f>$C10-INDEX(reg_Flocks[PlacedDate],MATCH($B10,reg_Flocks[FlockID],0))</f>
        <v>21</v>
      </c>
      <c r="H10" s="8">
        <f t="shared" si="0"/>
        <v>38.095238095238095</v>
      </c>
      <c r="I10" s="2" t="s">
        <v>201</v>
      </c>
      <c r="J10" s="2" t="s">
        <v>231</v>
      </c>
    </row>
    <row r="11" spans="1:10" x14ac:dyDescent="0.3">
      <c r="A11" s="2" t="s">
        <v>348</v>
      </c>
      <c r="B11" s="2" t="s">
        <v>263</v>
      </c>
      <c r="C11" s="6">
        <v>46226</v>
      </c>
      <c r="D11" s="2">
        <v>4</v>
      </c>
      <c r="E11" s="2">
        <v>50</v>
      </c>
      <c r="F11" s="7">
        <v>1300</v>
      </c>
      <c r="G11" s="7">
        <f>$C11-INDEX(reg_Flocks[PlacedDate],MATCH($B11,reg_Flocks[FlockID],0))</f>
        <v>28</v>
      </c>
      <c r="H11" s="8">
        <f t="shared" si="0"/>
        <v>46.428571428571431</v>
      </c>
      <c r="I11" s="2" t="s">
        <v>199</v>
      </c>
      <c r="J11" s="2" t="s">
        <v>231</v>
      </c>
    </row>
    <row r="12" spans="1:10" x14ac:dyDescent="0.3">
      <c r="A12" s="2" t="s">
        <v>349</v>
      </c>
      <c r="B12" s="2" t="s">
        <v>263</v>
      </c>
      <c r="C12" s="6">
        <v>46233</v>
      </c>
      <c r="D12" s="2">
        <v>5</v>
      </c>
      <c r="E12" s="2">
        <v>50</v>
      </c>
      <c r="F12" s="7">
        <v>1850</v>
      </c>
      <c r="G12" s="7">
        <f>$C12-INDEX(reg_Flocks[PlacedDate],MATCH($B12,reg_Flocks[FlockID],0))</f>
        <v>35</v>
      </c>
      <c r="H12" s="8">
        <f t="shared" si="0"/>
        <v>52.857142857142854</v>
      </c>
      <c r="I12" s="2" t="s">
        <v>201</v>
      </c>
      <c r="J12" s="2" t="s">
        <v>231</v>
      </c>
    </row>
    <row r="13" spans="1:10" x14ac:dyDescent="0.3">
      <c r="A13" s="2" t="s">
        <v>350</v>
      </c>
      <c r="B13" s="2" t="s">
        <v>263</v>
      </c>
      <c r="C13" s="6">
        <v>46240</v>
      </c>
      <c r="D13" s="2">
        <v>6</v>
      </c>
      <c r="E13" s="2">
        <v>50</v>
      </c>
      <c r="F13" s="7">
        <v>2400</v>
      </c>
      <c r="G13" s="7">
        <f>$C13-INDEX(reg_Flocks[PlacedDate],MATCH($B13,reg_Flocks[FlockID],0))</f>
        <v>42</v>
      </c>
      <c r="H13" s="8">
        <f t="shared" si="0"/>
        <v>57.142857142857146</v>
      </c>
      <c r="I13" s="2" t="s">
        <v>201</v>
      </c>
      <c r="J13" s="2" t="s">
        <v>231</v>
      </c>
    </row>
    <row r="14" spans="1:10" x14ac:dyDescent="0.3">
      <c r="A14" s="2" t="s">
        <v>351</v>
      </c>
      <c r="B14" s="2" t="s">
        <v>264</v>
      </c>
      <c r="C14" s="6">
        <v>46225</v>
      </c>
      <c r="D14" s="2">
        <v>1</v>
      </c>
      <c r="E14" s="2">
        <v>50</v>
      </c>
      <c r="F14" s="7">
        <v>180</v>
      </c>
      <c r="G14" s="7">
        <f>$C14-INDEX(reg_Flocks[PlacedDate],MATCH($B14,reg_Flocks[FlockID],0))</f>
        <v>7</v>
      </c>
      <c r="H14" s="8">
        <f t="shared" si="0"/>
        <v>25.714285714285715</v>
      </c>
      <c r="I14" s="2" t="s">
        <v>199</v>
      </c>
      <c r="J14" s="2" t="s">
        <v>231</v>
      </c>
    </row>
    <row r="15" spans="1:10" x14ac:dyDescent="0.3">
      <c r="A15" s="2" t="s">
        <v>352</v>
      </c>
      <c r="B15" s="2" t="s">
        <v>264</v>
      </c>
      <c r="C15" s="6">
        <v>46232</v>
      </c>
      <c r="D15" s="2">
        <v>2</v>
      </c>
      <c r="E15" s="2">
        <v>50</v>
      </c>
      <c r="F15" s="7">
        <v>430</v>
      </c>
      <c r="G15" s="7">
        <f>$C15-INDEX(reg_Flocks[PlacedDate],MATCH($B15,reg_Flocks[FlockID],0))</f>
        <v>14</v>
      </c>
      <c r="H15" s="8">
        <f t="shared" si="0"/>
        <v>30.714285714285715</v>
      </c>
      <c r="I15" s="2" t="s">
        <v>201</v>
      </c>
      <c r="J15" s="2" t="s">
        <v>231</v>
      </c>
    </row>
    <row r="16" spans="1:10" x14ac:dyDescent="0.3">
      <c r="A16" s="2" t="s">
        <v>353</v>
      </c>
      <c r="B16" s="2" t="s">
        <v>264</v>
      </c>
      <c r="C16" s="6">
        <v>46239</v>
      </c>
      <c r="D16" s="2">
        <v>3</v>
      </c>
      <c r="E16" s="2">
        <v>50</v>
      </c>
      <c r="F16" s="7">
        <v>800</v>
      </c>
      <c r="G16" s="7">
        <f>$C16-INDEX(reg_Flocks[PlacedDate],MATCH($B16,reg_Flocks[FlockID],0))</f>
        <v>21</v>
      </c>
      <c r="H16" s="8">
        <f t="shared" si="0"/>
        <v>38.095238095238095</v>
      </c>
      <c r="I16" s="2" t="s">
        <v>201</v>
      </c>
      <c r="J16" s="2" t="s">
        <v>231</v>
      </c>
    </row>
    <row r="17" spans="1:10" x14ac:dyDescent="0.3">
      <c r="A17" s="2" t="s">
        <v>354</v>
      </c>
      <c r="B17" s="2" t="s">
        <v>265</v>
      </c>
      <c r="C17" s="6">
        <v>46242</v>
      </c>
      <c r="D17" s="2">
        <v>1</v>
      </c>
      <c r="E17" s="2">
        <v>50</v>
      </c>
      <c r="F17" s="7">
        <v>180</v>
      </c>
      <c r="G17" s="7">
        <f>$C17-INDEX(reg_Flocks[PlacedDate],MATCH($B17,reg_Flocks[FlockID],0))</f>
        <v>7</v>
      </c>
      <c r="H17" s="8">
        <f t="shared" si="0"/>
        <v>25.714285714285715</v>
      </c>
      <c r="I17" s="2" t="s">
        <v>199</v>
      </c>
      <c r="J17" s="2" t="s">
        <v>231</v>
      </c>
    </row>
  </sheetData>
  <dataValidations count="1">
    <dataValidation type="list" sqref="B2:B67" xr:uid="{00000000-0002-0000-0E00-000000000000}">
      <formula1>FlockID_List</formula1>
    </dataValidation>
  </dataValidations>
  <pageMargins left="0.75" right="0.75" top="1" bottom="1" header="0.5" footer="0.5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548235"/>
  </sheetPr>
  <dimension ref="A1:J13"/>
  <sheetViews>
    <sheetView showGridLines="0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2" customWidth="1"/>
    <col min="2" max="2" width="10" customWidth="1"/>
    <col min="3" max="4" width="12" customWidth="1"/>
    <col min="5" max="5" width="22" customWidth="1"/>
    <col min="6" max="7" width="16" customWidth="1"/>
    <col min="8" max="8" width="10" customWidth="1"/>
    <col min="9" max="9" width="12" customWidth="1"/>
    <col min="10" max="10" width="16" customWidth="1"/>
  </cols>
  <sheetData>
    <row r="1" spans="1:10" x14ac:dyDescent="0.3">
      <c r="A1" s="5" t="s">
        <v>266</v>
      </c>
      <c r="B1" s="5" t="s">
        <v>257</v>
      </c>
      <c r="C1" s="5" t="s">
        <v>267</v>
      </c>
      <c r="D1" s="5" t="s">
        <v>180</v>
      </c>
      <c r="E1" s="5" t="s">
        <v>355</v>
      </c>
      <c r="F1" s="5" t="s">
        <v>356</v>
      </c>
      <c r="G1" s="5" t="s">
        <v>357</v>
      </c>
      <c r="H1" s="5" t="s">
        <v>272</v>
      </c>
      <c r="I1" s="5" t="s">
        <v>358</v>
      </c>
      <c r="J1" s="5" t="s">
        <v>359</v>
      </c>
    </row>
    <row r="2" spans="1:10" x14ac:dyDescent="0.3">
      <c r="A2" s="2" t="s">
        <v>360</v>
      </c>
      <c r="B2" s="2" t="s">
        <v>261</v>
      </c>
      <c r="C2" s="6">
        <v>46163</v>
      </c>
      <c r="D2" s="2">
        <v>1</v>
      </c>
      <c r="E2" s="2" t="s">
        <v>361</v>
      </c>
      <c r="F2" s="2" t="s">
        <v>233</v>
      </c>
      <c r="G2" s="2" t="s">
        <v>199</v>
      </c>
      <c r="H2" s="2" t="s">
        <v>231</v>
      </c>
      <c r="I2" s="2">
        <f>COUNTIFS(reg_Vaccination_Health[FlockID],$B2,reg_Vaccination_Health[EntryID],"&lt;="&amp;$A2)</f>
        <v>1</v>
      </c>
      <c r="J2" s="2" t="str">
        <f t="shared" ref="J2:J13" si="0">$B2&amp;"-"&amp;$I2</f>
        <v>FLK-001-1</v>
      </c>
    </row>
    <row r="3" spans="1:10" x14ac:dyDescent="0.3">
      <c r="A3" s="2" t="s">
        <v>362</v>
      </c>
      <c r="B3" s="2" t="s">
        <v>261</v>
      </c>
      <c r="C3" s="6">
        <v>46176</v>
      </c>
      <c r="D3" s="2">
        <v>2</v>
      </c>
      <c r="E3" s="2" t="s">
        <v>363</v>
      </c>
      <c r="F3" s="2" t="s">
        <v>239</v>
      </c>
      <c r="G3" s="2" t="s">
        <v>199</v>
      </c>
      <c r="H3" s="2" t="s">
        <v>231</v>
      </c>
      <c r="I3" s="2">
        <f>COUNTIFS(reg_Vaccination_Health[FlockID],$B3,reg_Vaccination_Health[EntryID],"&lt;="&amp;$A3)</f>
        <v>2</v>
      </c>
      <c r="J3" s="2" t="str">
        <f t="shared" si="0"/>
        <v>FLK-001-2</v>
      </c>
    </row>
    <row r="4" spans="1:10" x14ac:dyDescent="0.3">
      <c r="A4" s="2" t="s">
        <v>364</v>
      </c>
      <c r="B4" s="2" t="s">
        <v>261</v>
      </c>
      <c r="C4" s="6">
        <v>46164</v>
      </c>
      <c r="D4" s="2">
        <v>4</v>
      </c>
      <c r="E4" s="2" t="s">
        <v>365</v>
      </c>
      <c r="F4" s="2" t="s">
        <v>239</v>
      </c>
      <c r="G4" s="2" t="s">
        <v>199</v>
      </c>
      <c r="H4" s="2" t="s">
        <v>231</v>
      </c>
      <c r="I4" s="2">
        <f>COUNTIFS(reg_Vaccination_Health[FlockID],$B4,reg_Vaccination_Health[EntryID],"&lt;="&amp;$A4)</f>
        <v>3</v>
      </c>
      <c r="J4" s="2" t="str">
        <f t="shared" si="0"/>
        <v>FLK-001-3</v>
      </c>
    </row>
    <row r="5" spans="1:10" x14ac:dyDescent="0.3">
      <c r="A5" s="2" t="s">
        <v>366</v>
      </c>
      <c r="B5" s="2" t="s">
        <v>263</v>
      </c>
      <c r="C5" s="6">
        <v>46199</v>
      </c>
      <c r="D5" s="2">
        <v>1</v>
      </c>
      <c r="E5" s="2" t="s">
        <v>361</v>
      </c>
      <c r="F5" s="2" t="s">
        <v>233</v>
      </c>
      <c r="G5" s="2" t="s">
        <v>199</v>
      </c>
      <c r="H5" s="2" t="s">
        <v>231</v>
      </c>
      <c r="I5" s="2">
        <f>COUNTIFS(reg_Vaccination_Health[FlockID],$B5,reg_Vaccination_Health[EntryID],"&lt;="&amp;$A5)</f>
        <v>1</v>
      </c>
      <c r="J5" s="2" t="str">
        <f t="shared" si="0"/>
        <v>FLK-002-1</v>
      </c>
    </row>
    <row r="6" spans="1:10" x14ac:dyDescent="0.3">
      <c r="A6" s="2" t="s">
        <v>367</v>
      </c>
      <c r="B6" s="2" t="s">
        <v>263</v>
      </c>
      <c r="C6" s="6">
        <v>46212</v>
      </c>
      <c r="D6" s="2">
        <v>2</v>
      </c>
      <c r="E6" s="2" t="s">
        <v>363</v>
      </c>
      <c r="F6" s="2" t="s">
        <v>239</v>
      </c>
      <c r="G6" s="2" t="s">
        <v>199</v>
      </c>
      <c r="H6" s="2" t="s">
        <v>231</v>
      </c>
      <c r="I6" s="2">
        <f>COUNTIFS(reg_Vaccination_Health[FlockID],$B6,reg_Vaccination_Health[EntryID],"&lt;="&amp;$A6)</f>
        <v>2</v>
      </c>
      <c r="J6" s="2" t="str">
        <f t="shared" si="0"/>
        <v>FLK-002-2</v>
      </c>
    </row>
    <row r="7" spans="1:10" x14ac:dyDescent="0.3">
      <c r="A7" s="2" t="s">
        <v>368</v>
      </c>
      <c r="B7" s="2" t="s">
        <v>263</v>
      </c>
      <c r="C7" s="6">
        <v>46218</v>
      </c>
      <c r="D7" s="2">
        <v>3</v>
      </c>
      <c r="E7" s="2" t="s">
        <v>369</v>
      </c>
      <c r="F7" s="2" t="s">
        <v>239</v>
      </c>
      <c r="G7" s="2" t="s">
        <v>199</v>
      </c>
      <c r="H7" s="2" t="s">
        <v>231</v>
      </c>
      <c r="I7" s="2">
        <f>COUNTIFS(reg_Vaccination_Health[FlockID],$B7,reg_Vaccination_Health[EntryID],"&lt;="&amp;$A7)</f>
        <v>3</v>
      </c>
      <c r="J7" s="2" t="str">
        <f t="shared" si="0"/>
        <v>FLK-002-3</v>
      </c>
    </row>
    <row r="8" spans="1:10" x14ac:dyDescent="0.3">
      <c r="A8" s="2" t="s">
        <v>370</v>
      </c>
      <c r="B8" s="2" t="s">
        <v>263</v>
      </c>
      <c r="C8" s="6">
        <v>46200</v>
      </c>
      <c r="D8" s="2">
        <v>4</v>
      </c>
      <c r="E8" s="2" t="s">
        <v>365</v>
      </c>
      <c r="F8" s="2" t="s">
        <v>239</v>
      </c>
      <c r="G8" s="2" t="s">
        <v>199</v>
      </c>
      <c r="H8" s="2" t="s">
        <v>231</v>
      </c>
      <c r="I8" s="2">
        <f>COUNTIFS(reg_Vaccination_Health[FlockID],$B8,reg_Vaccination_Health[EntryID],"&lt;="&amp;$A8)</f>
        <v>4</v>
      </c>
      <c r="J8" s="2" t="str">
        <f t="shared" si="0"/>
        <v>FLK-002-4</v>
      </c>
    </row>
    <row r="9" spans="1:10" x14ac:dyDescent="0.3">
      <c r="A9" s="2" t="s">
        <v>371</v>
      </c>
      <c r="B9" s="2" t="s">
        <v>264</v>
      </c>
      <c r="C9" s="6">
        <v>46219</v>
      </c>
      <c r="D9" s="2">
        <v>1</v>
      </c>
      <c r="E9" s="2" t="s">
        <v>361</v>
      </c>
      <c r="F9" s="2" t="s">
        <v>233</v>
      </c>
      <c r="G9" s="2" t="s">
        <v>199</v>
      </c>
      <c r="H9" s="2" t="s">
        <v>231</v>
      </c>
      <c r="I9" s="2">
        <f>COUNTIFS(reg_Vaccination_Health[FlockID],$B9,reg_Vaccination_Health[EntryID],"&lt;="&amp;$A9)</f>
        <v>1</v>
      </c>
      <c r="J9" s="2" t="str">
        <f t="shared" si="0"/>
        <v>FLK-003-1</v>
      </c>
    </row>
    <row r="10" spans="1:10" x14ac:dyDescent="0.3">
      <c r="A10" s="2" t="s">
        <v>372</v>
      </c>
      <c r="B10" s="2" t="s">
        <v>264</v>
      </c>
      <c r="C10" s="6">
        <v>46232</v>
      </c>
      <c r="D10" s="2">
        <v>2</v>
      </c>
      <c r="E10" s="2" t="s">
        <v>363</v>
      </c>
      <c r="F10" s="2" t="s">
        <v>239</v>
      </c>
      <c r="G10" s="2" t="s">
        <v>199</v>
      </c>
      <c r="H10" s="2" t="s">
        <v>231</v>
      </c>
      <c r="I10" s="2">
        <f>COUNTIFS(reg_Vaccination_Health[FlockID],$B10,reg_Vaccination_Health[EntryID],"&lt;="&amp;$A10)</f>
        <v>2</v>
      </c>
      <c r="J10" s="2" t="str">
        <f t="shared" si="0"/>
        <v>FLK-003-2</v>
      </c>
    </row>
    <row r="11" spans="1:10" x14ac:dyDescent="0.3">
      <c r="A11" s="2" t="s">
        <v>373</v>
      </c>
      <c r="B11" s="2" t="s">
        <v>264</v>
      </c>
      <c r="C11" s="6">
        <v>46220</v>
      </c>
      <c r="D11" s="2">
        <v>4</v>
      </c>
      <c r="E11" s="2" t="s">
        <v>365</v>
      </c>
      <c r="F11" s="2" t="s">
        <v>239</v>
      </c>
      <c r="G11" s="2" t="s">
        <v>199</v>
      </c>
      <c r="H11" s="2" t="s">
        <v>231</v>
      </c>
      <c r="I11" s="2">
        <f>COUNTIFS(reg_Vaccination_Health[FlockID],$B11,reg_Vaccination_Health[EntryID],"&lt;="&amp;$A11)</f>
        <v>3</v>
      </c>
      <c r="J11" s="2" t="str">
        <f t="shared" si="0"/>
        <v>FLK-003-3</v>
      </c>
    </row>
    <row r="12" spans="1:10" x14ac:dyDescent="0.3">
      <c r="A12" s="2" t="s">
        <v>374</v>
      </c>
      <c r="B12" s="2" t="s">
        <v>265</v>
      </c>
      <c r="C12" s="6">
        <v>46236</v>
      </c>
      <c r="D12" s="2">
        <v>1</v>
      </c>
      <c r="E12" s="2" t="s">
        <v>361</v>
      </c>
      <c r="F12" s="2" t="s">
        <v>233</v>
      </c>
      <c r="G12" s="2" t="s">
        <v>199</v>
      </c>
      <c r="H12" s="2" t="s">
        <v>231</v>
      </c>
      <c r="I12" s="2">
        <f>COUNTIFS(reg_Vaccination_Health[FlockID],$B12,reg_Vaccination_Health[EntryID],"&lt;="&amp;$A12)</f>
        <v>1</v>
      </c>
      <c r="J12" s="2" t="str">
        <f t="shared" si="0"/>
        <v>FLK-004-1</v>
      </c>
    </row>
    <row r="13" spans="1:10" x14ac:dyDescent="0.3">
      <c r="A13" s="2" t="s">
        <v>375</v>
      </c>
      <c r="B13" s="2" t="s">
        <v>265</v>
      </c>
      <c r="C13" s="6">
        <v>46237</v>
      </c>
      <c r="D13" s="2">
        <v>4</v>
      </c>
      <c r="E13" s="2" t="s">
        <v>365</v>
      </c>
      <c r="F13" s="2" t="s">
        <v>239</v>
      </c>
      <c r="G13" s="2" t="s">
        <v>199</v>
      </c>
      <c r="H13" s="2" t="s">
        <v>231</v>
      </c>
      <c r="I13" s="2">
        <f>COUNTIFS(reg_Vaccination_Health[FlockID],$B13,reg_Vaccination_Health[EntryID],"&lt;="&amp;$A13)</f>
        <v>2</v>
      </c>
      <c r="J13" s="2" t="str">
        <f t="shared" si="0"/>
        <v>FLK-004-2</v>
      </c>
    </row>
  </sheetData>
  <dataValidations count="3">
    <dataValidation type="list" sqref="D2:D63" xr:uid="{00000000-0002-0000-0F00-000000000000}">
      <formula1>ProductID_List</formula1>
    </dataValidation>
    <dataValidation type="list" sqref="B2:B63" xr:uid="{00000000-0002-0000-0F00-000001000000}">
      <formula1>FlockID_List</formula1>
    </dataValidation>
    <dataValidation type="list" sqref="F2:F63" xr:uid="{00000000-0002-0000-0F00-000002000000}">
      <formula1>List_VaccinationRoute</formula1>
    </dataValidation>
  </dataValidations>
  <pageMargins left="0.75" right="0.75" top="1" bottom="1" header="0.5" footer="0.5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548235"/>
  </sheetPr>
  <dimension ref="A1:O3"/>
  <sheetViews>
    <sheetView showGridLines="0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2" customWidth="1"/>
    <col min="2" max="2" width="10" customWidth="1"/>
    <col min="3" max="4" width="12" customWidth="1"/>
    <col min="5" max="5" width="16" customWidth="1"/>
    <col min="6" max="6" width="18" customWidth="1"/>
    <col min="7" max="9" width="14" customWidth="1"/>
    <col min="10" max="10" width="16" customWidth="1"/>
    <col min="11" max="11" width="14" customWidth="1"/>
    <col min="12" max="12" width="18" customWidth="1"/>
    <col min="13" max="14" width="14" customWidth="1"/>
    <col min="15" max="15" width="10" customWidth="1"/>
  </cols>
  <sheetData>
    <row r="1" spans="1:15" ht="26.4" x14ac:dyDescent="0.3">
      <c r="A1" s="5" t="s">
        <v>266</v>
      </c>
      <c r="B1" s="5" t="s">
        <v>257</v>
      </c>
      <c r="C1" s="5" t="s">
        <v>267</v>
      </c>
      <c r="D1" s="5" t="s">
        <v>161</v>
      </c>
      <c r="E1" s="5" t="s">
        <v>376</v>
      </c>
      <c r="F1" s="5" t="s">
        <v>377</v>
      </c>
      <c r="G1" s="5" t="s">
        <v>378</v>
      </c>
      <c r="H1" s="5" t="s">
        <v>379</v>
      </c>
      <c r="I1" s="5" t="s">
        <v>380</v>
      </c>
      <c r="J1" s="5" t="s">
        <v>381</v>
      </c>
      <c r="K1" s="5" t="s">
        <v>382</v>
      </c>
      <c r="L1" s="5" t="s">
        <v>383</v>
      </c>
      <c r="M1" s="5" t="s">
        <v>384</v>
      </c>
      <c r="N1" s="5" t="s">
        <v>271</v>
      </c>
      <c r="O1" s="5" t="s">
        <v>272</v>
      </c>
    </row>
    <row r="2" spans="1:15" x14ac:dyDescent="0.3">
      <c r="A2" s="2" t="s">
        <v>385</v>
      </c>
      <c r="B2" s="2" t="s">
        <v>261</v>
      </c>
      <c r="C2" s="6">
        <v>46204</v>
      </c>
      <c r="D2" s="2">
        <v>1</v>
      </c>
      <c r="E2" s="7">
        <v>3000</v>
      </c>
      <c r="F2" s="8">
        <v>6750</v>
      </c>
      <c r="G2" s="3">
        <v>42.5</v>
      </c>
      <c r="H2" s="3">
        <v>0</v>
      </c>
      <c r="I2" s="3">
        <v>350</v>
      </c>
      <c r="J2" s="3">
        <f>ROUND(IF($H2&gt;0,$E2*$H2,$F2*$G2)+$I2,2)</f>
        <v>287225</v>
      </c>
      <c r="K2" s="3">
        <v>287225</v>
      </c>
      <c r="L2" s="3">
        <f>$J2-$K2</f>
        <v>0</v>
      </c>
      <c r="M2" s="2" t="s">
        <v>386</v>
      </c>
      <c r="N2" s="2" t="s">
        <v>197</v>
      </c>
      <c r="O2" s="2" t="s">
        <v>231</v>
      </c>
    </row>
    <row r="3" spans="1:15" x14ac:dyDescent="0.3">
      <c r="A3" s="2" t="s">
        <v>387</v>
      </c>
      <c r="B3" s="2" t="s">
        <v>261</v>
      </c>
      <c r="C3" s="6">
        <v>46204</v>
      </c>
      <c r="D3" s="2">
        <v>3</v>
      </c>
      <c r="E3" s="7">
        <v>1950</v>
      </c>
      <c r="F3" s="8">
        <v>4387.5</v>
      </c>
      <c r="G3" s="3">
        <v>41</v>
      </c>
      <c r="H3" s="3">
        <v>0</v>
      </c>
      <c r="I3" s="3">
        <v>300</v>
      </c>
      <c r="J3" s="3">
        <f>ROUND(IF($H3&gt;0,$E3*$H3,$F3*$G3)+$I3,2)</f>
        <v>180187.5</v>
      </c>
      <c r="K3" s="3">
        <v>150000</v>
      </c>
      <c r="L3" s="3">
        <f>$J3-$K3</f>
        <v>30187.5</v>
      </c>
      <c r="M3" s="2" t="s">
        <v>388</v>
      </c>
      <c r="N3" s="2" t="s">
        <v>197</v>
      </c>
      <c r="O3" s="2" t="s">
        <v>231</v>
      </c>
    </row>
  </sheetData>
  <dataValidations count="2">
    <dataValidation type="list" sqref="D2:D53" xr:uid="{00000000-0002-0000-1000-000000000000}">
      <formula1>CustomerID_List</formula1>
    </dataValidation>
    <dataValidation type="list" sqref="B2:B53" xr:uid="{00000000-0002-0000-1000-000001000000}">
      <formula1>FlockID_List</formula1>
    </dataValidation>
  </dataValidations>
  <pageMargins left="0.75" right="0.75" top="1" bottom="1" header="0.5" footer="0.5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548235"/>
  </sheetPr>
  <dimension ref="A1:M16"/>
  <sheetViews>
    <sheetView showGridLines="0" workbookViewId="0">
      <pane ySplit="1" topLeftCell="A2" activePane="bottomLeft" state="frozen"/>
      <selection pane="bottomLeft"/>
    </sheetView>
  </sheetViews>
  <sheetFormatPr defaultRowHeight="14.4" x14ac:dyDescent="0.3"/>
  <cols>
    <col min="1" max="3" width="12" customWidth="1"/>
    <col min="4" max="4" width="18" customWidth="1"/>
    <col min="5" max="6" width="12" customWidth="1"/>
    <col min="7" max="8" width="14" customWidth="1"/>
    <col min="9" max="9" width="16" customWidth="1"/>
    <col min="10" max="12" width="14" customWidth="1"/>
    <col min="13" max="13" width="10" customWidth="1"/>
  </cols>
  <sheetData>
    <row r="1" spans="1:13" ht="26.4" x14ac:dyDescent="0.3">
      <c r="A1" s="5" t="s">
        <v>266</v>
      </c>
      <c r="B1" s="5" t="s">
        <v>257</v>
      </c>
      <c r="C1" s="5" t="s">
        <v>267</v>
      </c>
      <c r="D1" s="5" t="s">
        <v>224</v>
      </c>
      <c r="E1" s="5" t="s">
        <v>139</v>
      </c>
      <c r="F1" s="5" t="s">
        <v>389</v>
      </c>
      <c r="G1" s="5" t="s">
        <v>390</v>
      </c>
      <c r="H1" s="5" t="s">
        <v>391</v>
      </c>
      <c r="I1" s="5" t="s">
        <v>221</v>
      </c>
      <c r="J1" s="5" t="s">
        <v>392</v>
      </c>
      <c r="K1" s="5" t="s">
        <v>393</v>
      </c>
      <c r="L1" s="5" t="s">
        <v>271</v>
      </c>
      <c r="M1" s="5" t="s">
        <v>272</v>
      </c>
    </row>
    <row r="2" spans="1:13" x14ac:dyDescent="0.3">
      <c r="A2" s="2" t="s">
        <v>394</v>
      </c>
      <c r="B2" s="2" t="s">
        <v>261</v>
      </c>
      <c r="C2" s="6">
        <v>46161</v>
      </c>
      <c r="D2" s="2" t="s">
        <v>160</v>
      </c>
      <c r="E2" s="2">
        <v>4</v>
      </c>
      <c r="F2" s="2">
        <v>1</v>
      </c>
      <c r="G2" s="3">
        <v>1800</v>
      </c>
      <c r="H2" s="3">
        <f t="shared" ref="H2:H16" si="0">ROUND($F2*$G2,2)</f>
        <v>1800</v>
      </c>
      <c r="I2" s="2" t="s">
        <v>234</v>
      </c>
      <c r="J2" s="2" t="s">
        <v>395</v>
      </c>
      <c r="K2" s="2" t="s">
        <v>197</v>
      </c>
      <c r="L2" s="2" t="s">
        <v>197</v>
      </c>
      <c r="M2" s="2" t="s">
        <v>231</v>
      </c>
    </row>
    <row r="3" spans="1:13" x14ac:dyDescent="0.3">
      <c r="A3" s="2" t="s">
        <v>396</v>
      </c>
      <c r="B3" s="2" t="s">
        <v>261</v>
      </c>
      <c r="C3" s="6">
        <v>46162</v>
      </c>
      <c r="D3" s="2" t="s">
        <v>148</v>
      </c>
      <c r="E3" s="2">
        <v>1</v>
      </c>
      <c r="F3" s="2">
        <v>5000</v>
      </c>
      <c r="G3" s="3">
        <v>4.5</v>
      </c>
      <c r="H3" s="3">
        <f t="shared" si="0"/>
        <v>22500</v>
      </c>
      <c r="I3" s="2" t="s">
        <v>240</v>
      </c>
      <c r="J3" s="2" t="s">
        <v>397</v>
      </c>
      <c r="K3" s="2" t="s">
        <v>197</v>
      </c>
      <c r="L3" s="2" t="s">
        <v>197</v>
      </c>
      <c r="M3" s="2" t="s">
        <v>231</v>
      </c>
    </row>
    <row r="4" spans="1:13" x14ac:dyDescent="0.3">
      <c r="A4" s="2" t="s">
        <v>398</v>
      </c>
      <c r="B4" s="2" t="s">
        <v>261</v>
      </c>
      <c r="C4" s="6">
        <v>46183</v>
      </c>
      <c r="D4" s="2" t="s">
        <v>156</v>
      </c>
      <c r="E4" s="2">
        <v>3</v>
      </c>
      <c r="F4" s="2">
        <v>1</v>
      </c>
      <c r="G4" s="3">
        <v>950</v>
      </c>
      <c r="H4" s="3">
        <f t="shared" si="0"/>
        <v>950</v>
      </c>
      <c r="I4" s="2" t="s">
        <v>228</v>
      </c>
      <c r="J4" s="2" t="s">
        <v>399</v>
      </c>
      <c r="K4" s="2" t="s">
        <v>199</v>
      </c>
      <c r="L4" s="2" t="s">
        <v>199</v>
      </c>
      <c r="M4" s="2" t="s">
        <v>231</v>
      </c>
    </row>
    <row r="5" spans="1:13" x14ac:dyDescent="0.3">
      <c r="A5" s="2" t="s">
        <v>400</v>
      </c>
      <c r="B5" s="2" t="s">
        <v>261</v>
      </c>
      <c r="C5" s="6">
        <v>46201</v>
      </c>
      <c r="D5" s="2" t="s">
        <v>252</v>
      </c>
      <c r="E5" s="2"/>
      <c r="F5" s="2">
        <v>1</v>
      </c>
      <c r="G5" s="3">
        <v>1200</v>
      </c>
      <c r="H5" s="3">
        <f t="shared" si="0"/>
        <v>1200</v>
      </c>
      <c r="I5" s="2" t="s">
        <v>228</v>
      </c>
      <c r="J5" s="2" t="s">
        <v>401</v>
      </c>
      <c r="K5" s="2" t="s">
        <v>197</v>
      </c>
      <c r="L5" s="2" t="s">
        <v>197</v>
      </c>
      <c r="M5" s="2" t="s">
        <v>231</v>
      </c>
    </row>
    <row r="6" spans="1:13" x14ac:dyDescent="0.3">
      <c r="A6" s="2" t="s">
        <v>402</v>
      </c>
      <c r="B6" s="2" t="s">
        <v>261</v>
      </c>
      <c r="C6" s="6">
        <v>46203</v>
      </c>
      <c r="D6" s="2" t="s">
        <v>248</v>
      </c>
      <c r="E6" s="2"/>
      <c r="F6" s="2">
        <v>1</v>
      </c>
      <c r="G6" s="3">
        <v>2400</v>
      </c>
      <c r="H6" s="3">
        <f t="shared" si="0"/>
        <v>2400</v>
      </c>
      <c r="I6" s="2" t="s">
        <v>234</v>
      </c>
      <c r="J6" s="2" t="s">
        <v>403</v>
      </c>
      <c r="K6" s="2" t="s">
        <v>197</v>
      </c>
      <c r="L6" s="2" t="s">
        <v>197</v>
      </c>
      <c r="M6" s="2" t="s">
        <v>231</v>
      </c>
    </row>
    <row r="7" spans="1:13" x14ac:dyDescent="0.3">
      <c r="A7" s="2" t="s">
        <v>404</v>
      </c>
      <c r="B7" s="2" t="s">
        <v>263</v>
      </c>
      <c r="C7" s="6">
        <v>46197</v>
      </c>
      <c r="D7" s="2" t="s">
        <v>160</v>
      </c>
      <c r="E7" s="2">
        <v>4</v>
      </c>
      <c r="F7" s="2">
        <v>1</v>
      </c>
      <c r="G7" s="3">
        <v>1800</v>
      </c>
      <c r="H7" s="3">
        <f t="shared" si="0"/>
        <v>1800</v>
      </c>
      <c r="I7" s="2" t="s">
        <v>234</v>
      </c>
      <c r="J7" s="2" t="s">
        <v>405</v>
      </c>
      <c r="K7" s="2" t="s">
        <v>197</v>
      </c>
      <c r="L7" s="2" t="s">
        <v>197</v>
      </c>
      <c r="M7" s="2" t="s">
        <v>231</v>
      </c>
    </row>
    <row r="8" spans="1:13" x14ac:dyDescent="0.3">
      <c r="A8" s="2" t="s">
        <v>406</v>
      </c>
      <c r="B8" s="2" t="s">
        <v>263</v>
      </c>
      <c r="C8" s="6">
        <v>46198</v>
      </c>
      <c r="D8" s="2" t="s">
        <v>148</v>
      </c>
      <c r="E8" s="2">
        <v>1</v>
      </c>
      <c r="F8" s="2">
        <v>5000</v>
      </c>
      <c r="G8" s="3">
        <v>4.5999999999999996</v>
      </c>
      <c r="H8" s="3">
        <f t="shared" si="0"/>
        <v>23000</v>
      </c>
      <c r="I8" s="2" t="s">
        <v>240</v>
      </c>
      <c r="J8" s="2" t="s">
        <v>407</v>
      </c>
      <c r="K8" s="2" t="s">
        <v>197</v>
      </c>
      <c r="L8" s="2" t="s">
        <v>197</v>
      </c>
      <c r="M8" s="2" t="s">
        <v>231</v>
      </c>
    </row>
    <row r="9" spans="1:13" x14ac:dyDescent="0.3">
      <c r="A9" s="2" t="s">
        <v>408</v>
      </c>
      <c r="B9" s="2" t="s">
        <v>263</v>
      </c>
      <c r="C9" s="6">
        <v>46218</v>
      </c>
      <c r="D9" s="2" t="s">
        <v>156</v>
      </c>
      <c r="E9" s="2">
        <v>3</v>
      </c>
      <c r="F9" s="2">
        <v>1</v>
      </c>
      <c r="G9" s="3">
        <v>1100</v>
      </c>
      <c r="H9" s="3">
        <f t="shared" si="0"/>
        <v>1100</v>
      </c>
      <c r="I9" s="2" t="s">
        <v>228</v>
      </c>
      <c r="J9" s="2" t="s">
        <v>409</v>
      </c>
      <c r="K9" s="2" t="s">
        <v>199</v>
      </c>
      <c r="L9" s="2" t="s">
        <v>199</v>
      </c>
      <c r="M9" s="2" t="s">
        <v>231</v>
      </c>
    </row>
    <row r="10" spans="1:13" x14ac:dyDescent="0.3">
      <c r="A10" s="2" t="s">
        <v>410</v>
      </c>
      <c r="B10" s="2" t="s">
        <v>263</v>
      </c>
      <c r="C10" s="6">
        <v>46231</v>
      </c>
      <c r="D10" s="2" t="s">
        <v>248</v>
      </c>
      <c r="E10" s="2"/>
      <c r="F10" s="2">
        <v>1</v>
      </c>
      <c r="G10" s="3">
        <v>2400</v>
      </c>
      <c r="H10" s="3">
        <f t="shared" si="0"/>
        <v>2400</v>
      </c>
      <c r="I10" s="2" t="s">
        <v>234</v>
      </c>
      <c r="J10" s="2" t="s">
        <v>411</v>
      </c>
      <c r="K10" s="2" t="s">
        <v>197</v>
      </c>
      <c r="L10" s="2" t="s">
        <v>197</v>
      </c>
      <c r="M10" s="2" t="s">
        <v>231</v>
      </c>
    </row>
    <row r="11" spans="1:13" x14ac:dyDescent="0.3">
      <c r="A11" s="2" t="s">
        <v>412</v>
      </c>
      <c r="B11" s="2" t="s">
        <v>264</v>
      </c>
      <c r="C11" s="6">
        <v>46217</v>
      </c>
      <c r="D11" s="2" t="s">
        <v>160</v>
      </c>
      <c r="E11" s="2">
        <v>4</v>
      </c>
      <c r="F11" s="2">
        <v>1</v>
      </c>
      <c r="G11" s="3">
        <v>1450</v>
      </c>
      <c r="H11" s="3">
        <f t="shared" si="0"/>
        <v>1450</v>
      </c>
      <c r="I11" s="2" t="s">
        <v>228</v>
      </c>
      <c r="J11" s="2" t="s">
        <v>413</v>
      </c>
      <c r="K11" s="2" t="s">
        <v>197</v>
      </c>
      <c r="L11" s="2" t="s">
        <v>197</v>
      </c>
      <c r="M11" s="2" t="s">
        <v>231</v>
      </c>
    </row>
    <row r="12" spans="1:13" x14ac:dyDescent="0.3">
      <c r="A12" s="2" t="s">
        <v>414</v>
      </c>
      <c r="B12" s="2" t="s">
        <v>264</v>
      </c>
      <c r="C12" s="6">
        <v>46218</v>
      </c>
      <c r="D12" s="2" t="s">
        <v>148</v>
      </c>
      <c r="E12" s="2">
        <v>1</v>
      </c>
      <c r="F12" s="2">
        <v>4000</v>
      </c>
      <c r="G12" s="3">
        <v>4.5</v>
      </c>
      <c r="H12" s="3">
        <f t="shared" si="0"/>
        <v>18000</v>
      </c>
      <c r="I12" s="2" t="s">
        <v>240</v>
      </c>
      <c r="J12" s="2" t="s">
        <v>415</v>
      </c>
      <c r="K12" s="2" t="s">
        <v>197</v>
      </c>
      <c r="L12" s="2" t="s">
        <v>197</v>
      </c>
      <c r="M12" s="2" t="s">
        <v>231</v>
      </c>
    </row>
    <row r="13" spans="1:13" x14ac:dyDescent="0.3">
      <c r="A13" s="2" t="s">
        <v>416</v>
      </c>
      <c r="B13" s="2" t="s">
        <v>264</v>
      </c>
      <c r="C13" s="6">
        <v>46235</v>
      </c>
      <c r="D13" s="2" t="s">
        <v>248</v>
      </c>
      <c r="E13" s="2"/>
      <c r="F13" s="2">
        <v>1</v>
      </c>
      <c r="G13" s="3">
        <v>2000</v>
      </c>
      <c r="H13" s="3">
        <f t="shared" si="0"/>
        <v>2000</v>
      </c>
      <c r="I13" s="2" t="s">
        <v>234</v>
      </c>
      <c r="J13" s="2" t="s">
        <v>417</v>
      </c>
      <c r="K13" s="2" t="s">
        <v>199</v>
      </c>
      <c r="L13" s="2" t="s">
        <v>199</v>
      </c>
      <c r="M13" s="2" t="s">
        <v>231</v>
      </c>
    </row>
    <row r="14" spans="1:13" x14ac:dyDescent="0.3">
      <c r="A14" s="2" t="s">
        <v>418</v>
      </c>
      <c r="B14" s="2" t="s">
        <v>265</v>
      </c>
      <c r="C14" s="6">
        <v>46234</v>
      </c>
      <c r="D14" s="2" t="s">
        <v>160</v>
      </c>
      <c r="E14" s="2">
        <v>4</v>
      </c>
      <c r="F14" s="2">
        <v>1</v>
      </c>
      <c r="G14" s="3">
        <v>1800</v>
      </c>
      <c r="H14" s="3">
        <f t="shared" si="0"/>
        <v>1800</v>
      </c>
      <c r="I14" s="2" t="s">
        <v>228</v>
      </c>
      <c r="J14" s="2" t="s">
        <v>419</v>
      </c>
      <c r="K14" s="2" t="s">
        <v>197</v>
      </c>
      <c r="L14" s="2" t="s">
        <v>197</v>
      </c>
      <c r="M14" s="2" t="s">
        <v>231</v>
      </c>
    </row>
    <row r="15" spans="1:13" x14ac:dyDescent="0.3">
      <c r="A15" s="2" t="s">
        <v>420</v>
      </c>
      <c r="B15" s="2" t="s">
        <v>265</v>
      </c>
      <c r="C15" s="6">
        <v>46235</v>
      </c>
      <c r="D15" s="2" t="s">
        <v>148</v>
      </c>
      <c r="E15" s="2">
        <v>1</v>
      </c>
      <c r="F15" s="2">
        <v>5000</v>
      </c>
      <c r="G15" s="3">
        <v>4.5</v>
      </c>
      <c r="H15" s="3">
        <f t="shared" si="0"/>
        <v>22500</v>
      </c>
      <c r="I15" s="2" t="s">
        <v>240</v>
      </c>
      <c r="J15" s="2" t="s">
        <v>421</v>
      </c>
      <c r="K15" s="2" t="s">
        <v>197</v>
      </c>
      <c r="L15" s="2" t="s">
        <v>197</v>
      </c>
      <c r="M15" s="2" t="s">
        <v>231</v>
      </c>
    </row>
    <row r="16" spans="1:13" x14ac:dyDescent="0.3">
      <c r="A16" s="2" t="s">
        <v>422</v>
      </c>
      <c r="B16" s="2" t="s">
        <v>423</v>
      </c>
      <c r="C16" s="6">
        <v>46235</v>
      </c>
      <c r="D16" s="2" t="s">
        <v>243</v>
      </c>
      <c r="E16" s="2"/>
      <c r="F16" s="2">
        <v>1</v>
      </c>
      <c r="G16" s="3">
        <v>3200</v>
      </c>
      <c r="H16" s="3">
        <f t="shared" si="0"/>
        <v>3200</v>
      </c>
      <c r="I16" s="2" t="s">
        <v>240</v>
      </c>
      <c r="J16" s="2" t="s">
        <v>424</v>
      </c>
      <c r="K16" s="2" t="s">
        <v>197</v>
      </c>
      <c r="L16" s="2" t="s">
        <v>197</v>
      </c>
      <c r="M16" s="2" t="s">
        <v>231</v>
      </c>
    </row>
  </sheetData>
  <dataValidations count="3">
    <dataValidation type="list" sqref="D2:D66" xr:uid="{00000000-0002-0000-1100-000000000000}">
      <formula1>List_ExpenseCategory</formula1>
    </dataValidation>
    <dataValidation type="list" allowBlank="1" sqref="E2:E66" xr:uid="{00000000-0002-0000-1100-000001000000}">
      <formula1>SupplierID_List</formula1>
    </dataValidation>
    <dataValidation type="list" sqref="I2:I66" xr:uid="{00000000-0002-0000-1100-000002000000}">
      <formula1>List_PaymentMethod</formula1>
    </dataValidation>
  </dataValidations>
  <pageMargins left="0.75" right="0.75" top="1" bottom="1" header="0.5" footer="0.5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548235"/>
  </sheetPr>
  <dimension ref="A1:I26"/>
  <sheetViews>
    <sheetView showGridLines="0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2" customWidth="1"/>
    <col min="2" max="2" width="10" customWidth="1"/>
    <col min="3" max="3" width="12" customWidth="1"/>
    <col min="4" max="4" width="10" customWidth="1"/>
    <col min="5" max="8" width="14" customWidth="1"/>
    <col min="9" max="9" width="10" customWidth="1"/>
  </cols>
  <sheetData>
    <row r="1" spans="1:9" x14ac:dyDescent="0.3">
      <c r="A1" s="5" t="s">
        <v>266</v>
      </c>
      <c r="B1" s="5" t="s">
        <v>108</v>
      </c>
      <c r="C1" s="5" t="s">
        <v>267</v>
      </c>
      <c r="D1" s="5" t="s">
        <v>425</v>
      </c>
      <c r="E1" s="5" t="s">
        <v>426</v>
      </c>
      <c r="F1" s="5" t="s">
        <v>427</v>
      </c>
      <c r="G1" s="5" t="s">
        <v>428</v>
      </c>
      <c r="H1" s="5" t="s">
        <v>271</v>
      </c>
      <c r="I1" s="5" t="s">
        <v>272</v>
      </c>
    </row>
    <row r="2" spans="1:9" x14ac:dyDescent="0.3">
      <c r="A2" s="2" t="s">
        <v>429</v>
      </c>
      <c r="B2" s="2">
        <v>1</v>
      </c>
      <c r="C2" s="6">
        <v>46162</v>
      </c>
      <c r="D2" s="2" t="s">
        <v>430</v>
      </c>
      <c r="E2" s="9">
        <v>32</v>
      </c>
      <c r="F2" s="10">
        <v>62</v>
      </c>
      <c r="G2" s="10">
        <v>8</v>
      </c>
      <c r="H2" s="2" t="s">
        <v>201</v>
      </c>
      <c r="I2" s="2" t="s">
        <v>231</v>
      </c>
    </row>
    <row r="3" spans="1:9" x14ac:dyDescent="0.3">
      <c r="A3" s="2" t="s">
        <v>431</v>
      </c>
      <c r="B3" s="2">
        <v>1</v>
      </c>
      <c r="C3" s="6">
        <v>46167</v>
      </c>
      <c r="D3" s="2" t="s">
        <v>430</v>
      </c>
      <c r="E3" s="9">
        <v>31.2</v>
      </c>
      <c r="F3" s="10">
        <v>62</v>
      </c>
      <c r="G3" s="10">
        <v>8</v>
      </c>
      <c r="H3" s="2" t="s">
        <v>201</v>
      </c>
      <c r="I3" s="2" t="s">
        <v>231</v>
      </c>
    </row>
    <row r="4" spans="1:9" x14ac:dyDescent="0.3">
      <c r="A4" s="2" t="s">
        <v>432</v>
      </c>
      <c r="B4" s="2">
        <v>1</v>
      </c>
      <c r="C4" s="6">
        <v>46172</v>
      </c>
      <c r="D4" s="2" t="s">
        <v>430</v>
      </c>
      <c r="E4" s="9">
        <v>30.5</v>
      </c>
      <c r="F4" s="10">
        <v>62</v>
      </c>
      <c r="G4" s="10">
        <v>8</v>
      </c>
      <c r="H4" s="2" t="s">
        <v>201</v>
      </c>
      <c r="I4" s="2" t="s">
        <v>231</v>
      </c>
    </row>
    <row r="5" spans="1:9" x14ac:dyDescent="0.3">
      <c r="A5" s="2" t="s">
        <v>433</v>
      </c>
      <c r="B5" s="2">
        <v>1</v>
      </c>
      <c r="C5" s="6">
        <v>46177</v>
      </c>
      <c r="D5" s="2" t="s">
        <v>430</v>
      </c>
      <c r="E5" s="9">
        <v>29.8</v>
      </c>
      <c r="F5" s="10">
        <v>62</v>
      </c>
      <c r="G5" s="10">
        <v>8</v>
      </c>
      <c r="H5" s="2" t="s">
        <v>201</v>
      </c>
      <c r="I5" s="2" t="s">
        <v>231</v>
      </c>
    </row>
    <row r="6" spans="1:9" x14ac:dyDescent="0.3">
      <c r="A6" s="2" t="s">
        <v>434</v>
      </c>
      <c r="B6" s="2">
        <v>1</v>
      </c>
      <c r="C6" s="6">
        <v>46182</v>
      </c>
      <c r="D6" s="2" t="s">
        <v>430</v>
      </c>
      <c r="E6" s="9">
        <v>29</v>
      </c>
      <c r="F6" s="10">
        <v>62</v>
      </c>
      <c r="G6" s="10">
        <v>8</v>
      </c>
      <c r="H6" s="2" t="s">
        <v>201</v>
      </c>
      <c r="I6" s="2" t="s">
        <v>231</v>
      </c>
    </row>
    <row r="7" spans="1:9" x14ac:dyDescent="0.3">
      <c r="A7" s="2" t="s">
        <v>435</v>
      </c>
      <c r="B7" s="2">
        <v>1</v>
      </c>
      <c r="C7" s="6">
        <v>46187</v>
      </c>
      <c r="D7" s="2" t="s">
        <v>430</v>
      </c>
      <c r="E7" s="9">
        <v>28.2</v>
      </c>
      <c r="F7" s="10">
        <v>62</v>
      </c>
      <c r="G7" s="10">
        <v>8</v>
      </c>
      <c r="H7" s="2" t="s">
        <v>201</v>
      </c>
      <c r="I7" s="2" t="s">
        <v>231</v>
      </c>
    </row>
    <row r="8" spans="1:9" x14ac:dyDescent="0.3">
      <c r="A8" s="2" t="s">
        <v>436</v>
      </c>
      <c r="B8" s="2">
        <v>1</v>
      </c>
      <c r="C8" s="6">
        <v>46192</v>
      </c>
      <c r="D8" s="2" t="s">
        <v>430</v>
      </c>
      <c r="E8" s="9">
        <v>27.5</v>
      </c>
      <c r="F8" s="10">
        <v>62</v>
      </c>
      <c r="G8" s="10">
        <v>8</v>
      </c>
      <c r="H8" s="2" t="s">
        <v>201</v>
      </c>
      <c r="I8" s="2" t="s">
        <v>231</v>
      </c>
    </row>
    <row r="9" spans="1:9" x14ac:dyDescent="0.3">
      <c r="A9" s="2" t="s">
        <v>437</v>
      </c>
      <c r="B9" s="2">
        <v>1</v>
      </c>
      <c r="C9" s="6">
        <v>46197</v>
      </c>
      <c r="D9" s="2" t="s">
        <v>430</v>
      </c>
      <c r="E9" s="9">
        <v>26.8</v>
      </c>
      <c r="F9" s="10">
        <v>62</v>
      </c>
      <c r="G9" s="10">
        <v>8</v>
      </c>
      <c r="H9" s="2" t="s">
        <v>201</v>
      </c>
      <c r="I9" s="2" t="s">
        <v>231</v>
      </c>
    </row>
    <row r="10" spans="1:9" x14ac:dyDescent="0.3">
      <c r="A10" s="2" t="s">
        <v>438</v>
      </c>
      <c r="B10" s="2">
        <v>1</v>
      </c>
      <c r="C10" s="6">
        <v>46202</v>
      </c>
      <c r="D10" s="2" t="s">
        <v>430</v>
      </c>
      <c r="E10" s="9">
        <v>26</v>
      </c>
      <c r="F10" s="10">
        <v>62</v>
      </c>
      <c r="G10" s="10">
        <v>8</v>
      </c>
      <c r="H10" s="2" t="s">
        <v>201</v>
      </c>
      <c r="I10" s="2" t="s">
        <v>231</v>
      </c>
    </row>
    <row r="11" spans="1:9" x14ac:dyDescent="0.3">
      <c r="A11" s="2" t="s">
        <v>439</v>
      </c>
      <c r="B11" s="2">
        <v>2</v>
      </c>
      <c r="C11" s="6">
        <v>46198</v>
      </c>
      <c r="D11" s="2" t="s">
        <v>430</v>
      </c>
      <c r="E11" s="9">
        <v>32</v>
      </c>
      <c r="F11" s="10">
        <v>62</v>
      </c>
      <c r="G11" s="10">
        <v>8</v>
      </c>
      <c r="H11" s="2" t="s">
        <v>201</v>
      </c>
      <c r="I11" s="2" t="s">
        <v>231</v>
      </c>
    </row>
    <row r="12" spans="1:9" x14ac:dyDescent="0.3">
      <c r="A12" s="2" t="s">
        <v>440</v>
      </c>
      <c r="B12" s="2">
        <v>2</v>
      </c>
      <c r="C12" s="6">
        <v>46203</v>
      </c>
      <c r="D12" s="2" t="s">
        <v>430</v>
      </c>
      <c r="E12" s="9">
        <v>31.2</v>
      </c>
      <c r="F12" s="10">
        <v>62</v>
      </c>
      <c r="G12" s="10">
        <v>8</v>
      </c>
      <c r="H12" s="2" t="s">
        <v>201</v>
      </c>
      <c r="I12" s="2" t="s">
        <v>231</v>
      </c>
    </row>
    <row r="13" spans="1:9" x14ac:dyDescent="0.3">
      <c r="A13" s="2" t="s">
        <v>441</v>
      </c>
      <c r="B13" s="2">
        <v>2</v>
      </c>
      <c r="C13" s="6">
        <v>46208</v>
      </c>
      <c r="D13" s="2" t="s">
        <v>430</v>
      </c>
      <c r="E13" s="9">
        <v>30.5</v>
      </c>
      <c r="F13" s="10">
        <v>62</v>
      </c>
      <c r="G13" s="10">
        <v>8</v>
      </c>
      <c r="H13" s="2" t="s">
        <v>201</v>
      </c>
      <c r="I13" s="2" t="s">
        <v>231</v>
      </c>
    </row>
    <row r="14" spans="1:9" x14ac:dyDescent="0.3">
      <c r="A14" s="2" t="s">
        <v>442</v>
      </c>
      <c r="B14" s="2">
        <v>2</v>
      </c>
      <c r="C14" s="6">
        <v>46213</v>
      </c>
      <c r="D14" s="2" t="s">
        <v>430</v>
      </c>
      <c r="E14" s="9">
        <v>29.8</v>
      </c>
      <c r="F14" s="10">
        <v>62</v>
      </c>
      <c r="G14" s="10">
        <v>8</v>
      </c>
      <c r="H14" s="2" t="s">
        <v>201</v>
      </c>
      <c r="I14" s="2" t="s">
        <v>231</v>
      </c>
    </row>
    <row r="15" spans="1:9" x14ac:dyDescent="0.3">
      <c r="A15" s="2" t="s">
        <v>443</v>
      </c>
      <c r="B15" s="2">
        <v>2</v>
      </c>
      <c r="C15" s="6">
        <v>46218</v>
      </c>
      <c r="D15" s="2" t="s">
        <v>430</v>
      </c>
      <c r="E15" s="9">
        <v>29</v>
      </c>
      <c r="F15" s="10">
        <v>62</v>
      </c>
      <c r="G15" s="10">
        <v>8</v>
      </c>
      <c r="H15" s="2" t="s">
        <v>201</v>
      </c>
      <c r="I15" s="2" t="s">
        <v>231</v>
      </c>
    </row>
    <row r="16" spans="1:9" x14ac:dyDescent="0.3">
      <c r="A16" s="2" t="s">
        <v>444</v>
      </c>
      <c r="B16" s="2">
        <v>2</v>
      </c>
      <c r="C16" s="6">
        <v>46223</v>
      </c>
      <c r="D16" s="2" t="s">
        <v>430</v>
      </c>
      <c r="E16" s="9">
        <v>28.2</v>
      </c>
      <c r="F16" s="10">
        <v>62</v>
      </c>
      <c r="G16" s="10">
        <v>8</v>
      </c>
      <c r="H16" s="2" t="s">
        <v>201</v>
      </c>
      <c r="I16" s="2" t="s">
        <v>231</v>
      </c>
    </row>
    <row r="17" spans="1:9" x14ac:dyDescent="0.3">
      <c r="A17" s="2" t="s">
        <v>445</v>
      </c>
      <c r="B17" s="2">
        <v>2</v>
      </c>
      <c r="C17" s="6">
        <v>46228</v>
      </c>
      <c r="D17" s="2" t="s">
        <v>430</v>
      </c>
      <c r="E17" s="9">
        <v>27.5</v>
      </c>
      <c r="F17" s="10">
        <v>62</v>
      </c>
      <c r="G17" s="10">
        <v>8</v>
      </c>
      <c r="H17" s="2" t="s">
        <v>201</v>
      </c>
      <c r="I17" s="2" t="s">
        <v>231</v>
      </c>
    </row>
    <row r="18" spans="1:9" x14ac:dyDescent="0.3">
      <c r="A18" s="2" t="s">
        <v>446</v>
      </c>
      <c r="B18" s="2">
        <v>2</v>
      </c>
      <c r="C18" s="6">
        <v>46233</v>
      </c>
      <c r="D18" s="2" t="s">
        <v>430</v>
      </c>
      <c r="E18" s="9">
        <v>26.8</v>
      </c>
      <c r="F18" s="10">
        <v>62</v>
      </c>
      <c r="G18" s="10">
        <v>8</v>
      </c>
      <c r="H18" s="2" t="s">
        <v>201</v>
      </c>
      <c r="I18" s="2" t="s">
        <v>231</v>
      </c>
    </row>
    <row r="19" spans="1:9" x14ac:dyDescent="0.3">
      <c r="A19" s="2" t="s">
        <v>447</v>
      </c>
      <c r="B19" s="2">
        <v>2</v>
      </c>
      <c r="C19" s="6">
        <v>46238</v>
      </c>
      <c r="D19" s="2" t="s">
        <v>430</v>
      </c>
      <c r="E19" s="9">
        <v>26</v>
      </c>
      <c r="F19" s="10">
        <v>62</v>
      </c>
      <c r="G19" s="10">
        <v>8</v>
      </c>
      <c r="H19" s="2" t="s">
        <v>201</v>
      </c>
      <c r="I19" s="2" t="s">
        <v>231</v>
      </c>
    </row>
    <row r="20" spans="1:9" x14ac:dyDescent="0.3">
      <c r="A20" s="2" t="s">
        <v>448</v>
      </c>
      <c r="B20" s="2">
        <v>3</v>
      </c>
      <c r="C20" s="6">
        <v>46218</v>
      </c>
      <c r="D20" s="2" t="s">
        <v>430</v>
      </c>
      <c r="E20" s="9">
        <v>32</v>
      </c>
      <c r="F20" s="10">
        <v>62</v>
      </c>
      <c r="G20" s="10">
        <v>8</v>
      </c>
      <c r="H20" s="2" t="s">
        <v>201</v>
      </c>
      <c r="I20" s="2" t="s">
        <v>231</v>
      </c>
    </row>
    <row r="21" spans="1:9" x14ac:dyDescent="0.3">
      <c r="A21" s="2" t="s">
        <v>449</v>
      </c>
      <c r="B21" s="2">
        <v>3</v>
      </c>
      <c r="C21" s="6">
        <v>46223</v>
      </c>
      <c r="D21" s="2" t="s">
        <v>430</v>
      </c>
      <c r="E21" s="9">
        <v>31.2</v>
      </c>
      <c r="F21" s="10">
        <v>62</v>
      </c>
      <c r="G21" s="10">
        <v>8</v>
      </c>
      <c r="H21" s="2" t="s">
        <v>201</v>
      </c>
      <c r="I21" s="2" t="s">
        <v>231</v>
      </c>
    </row>
    <row r="22" spans="1:9" x14ac:dyDescent="0.3">
      <c r="A22" s="2" t="s">
        <v>450</v>
      </c>
      <c r="B22" s="2">
        <v>3</v>
      </c>
      <c r="C22" s="6">
        <v>46228</v>
      </c>
      <c r="D22" s="2" t="s">
        <v>430</v>
      </c>
      <c r="E22" s="9">
        <v>30.5</v>
      </c>
      <c r="F22" s="10">
        <v>62</v>
      </c>
      <c r="G22" s="10">
        <v>8</v>
      </c>
      <c r="H22" s="2" t="s">
        <v>201</v>
      </c>
      <c r="I22" s="2" t="s">
        <v>231</v>
      </c>
    </row>
    <row r="23" spans="1:9" x14ac:dyDescent="0.3">
      <c r="A23" s="2" t="s">
        <v>451</v>
      </c>
      <c r="B23" s="2">
        <v>3</v>
      </c>
      <c r="C23" s="6">
        <v>46233</v>
      </c>
      <c r="D23" s="2" t="s">
        <v>430</v>
      </c>
      <c r="E23" s="9">
        <v>29.8</v>
      </c>
      <c r="F23" s="10">
        <v>62</v>
      </c>
      <c r="G23" s="10">
        <v>8</v>
      </c>
      <c r="H23" s="2" t="s">
        <v>201</v>
      </c>
      <c r="I23" s="2" t="s">
        <v>231</v>
      </c>
    </row>
    <row r="24" spans="1:9" x14ac:dyDescent="0.3">
      <c r="A24" s="2" t="s">
        <v>452</v>
      </c>
      <c r="B24" s="2">
        <v>3</v>
      </c>
      <c r="C24" s="6">
        <v>46238</v>
      </c>
      <c r="D24" s="2" t="s">
        <v>430</v>
      </c>
      <c r="E24" s="9">
        <v>29</v>
      </c>
      <c r="F24" s="10">
        <v>62</v>
      </c>
      <c r="G24" s="10">
        <v>8</v>
      </c>
      <c r="H24" s="2" t="s">
        <v>201</v>
      </c>
      <c r="I24" s="2" t="s">
        <v>231</v>
      </c>
    </row>
    <row r="25" spans="1:9" x14ac:dyDescent="0.3">
      <c r="A25" s="2" t="s">
        <v>453</v>
      </c>
      <c r="B25" s="2">
        <v>1</v>
      </c>
      <c r="C25" s="6">
        <v>46235</v>
      </c>
      <c r="D25" s="2" t="s">
        <v>430</v>
      </c>
      <c r="E25" s="9">
        <v>32</v>
      </c>
      <c r="F25" s="10">
        <v>62</v>
      </c>
      <c r="G25" s="10">
        <v>8</v>
      </c>
      <c r="H25" s="2" t="s">
        <v>201</v>
      </c>
      <c r="I25" s="2" t="s">
        <v>231</v>
      </c>
    </row>
    <row r="26" spans="1:9" x14ac:dyDescent="0.3">
      <c r="A26" s="2" t="s">
        <v>454</v>
      </c>
      <c r="B26" s="2">
        <v>1</v>
      </c>
      <c r="C26" s="6">
        <v>46240</v>
      </c>
      <c r="D26" s="2" t="s">
        <v>430</v>
      </c>
      <c r="E26" s="9">
        <v>31.2</v>
      </c>
      <c r="F26" s="10">
        <v>62</v>
      </c>
      <c r="G26" s="10">
        <v>8</v>
      </c>
      <c r="H26" s="2" t="s">
        <v>201</v>
      </c>
      <c r="I26" s="2" t="s">
        <v>231</v>
      </c>
    </row>
  </sheetData>
  <dataValidations count="1">
    <dataValidation type="list" sqref="B2:B76" xr:uid="{00000000-0002-0000-1200-000000000000}">
      <formula1>HouseID_List</formula1>
    </dataValidation>
  </dataValidations>
  <pageMargins left="0.75" right="0.75" top="1" bottom="1" header="0.5" footer="0.5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548235"/>
  </sheetPr>
  <dimension ref="A1:H4"/>
  <sheetViews>
    <sheetView showGridLines="0" workbookViewId="0">
      <pane ySplit="1" topLeftCell="A2" activePane="bottomLeft" state="frozen"/>
      <selection pane="bottomLeft"/>
    </sheetView>
  </sheetViews>
  <sheetFormatPr defaultRowHeight="14.4" x14ac:dyDescent="0.3"/>
  <cols>
    <col min="1" max="2" width="12" customWidth="1"/>
    <col min="3" max="3" width="18" customWidth="1"/>
    <col min="4" max="4" width="30" customWidth="1"/>
    <col min="5" max="5" width="14" customWidth="1"/>
    <col min="6" max="6" width="16" customWidth="1"/>
    <col min="7" max="7" width="14" customWidth="1"/>
    <col min="8" max="8" width="10" customWidth="1"/>
  </cols>
  <sheetData>
    <row r="1" spans="1:8" x14ac:dyDescent="0.3">
      <c r="A1" s="5" t="s">
        <v>266</v>
      </c>
      <c r="B1" s="5" t="s">
        <v>267</v>
      </c>
      <c r="C1" s="5" t="s">
        <v>455</v>
      </c>
      <c r="D1" s="5" t="s">
        <v>27</v>
      </c>
      <c r="E1" s="5" t="s">
        <v>391</v>
      </c>
      <c r="F1" s="5" t="s">
        <v>221</v>
      </c>
      <c r="G1" s="5" t="s">
        <v>456</v>
      </c>
      <c r="H1" s="5" t="s">
        <v>272</v>
      </c>
    </row>
    <row r="2" spans="1:8" x14ac:dyDescent="0.3">
      <c r="A2" s="2" t="s">
        <v>457</v>
      </c>
      <c r="B2" s="6">
        <v>46225</v>
      </c>
      <c r="C2" s="2" t="s">
        <v>458</v>
      </c>
      <c r="D2" s="2" t="s">
        <v>459</v>
      </c>
      <c r="E2" s="3">
        <v>450</v>
      </c>
      <c r="F2" s="2" t="s">
        <v>228</v>
      </c>
      <c r="G2" s="2" t="s">
        <v>460</v>
      </c>
      <c r="H2" s="2" t="s">
        <v>231</v>
      </c>
    </row>
    <row r="3" spans="1:8" x14ac:dyDescent="0.3">
      <c r="A3" s="2" t="s">
        <v>461</v>
      </c>
      <c r="B3" s="6">
        <v>46235</v>
      </c>
      <c r="C3" s="2" t="s">
        <v>462</v>
      </c>
      <c r="D3" s="2" t="s">
        <v>463</v>
      </c>
      <c r="E3" s="3">
        <v>120</v>
      </c>
      <c r="F3" s="2" t="s">
        <v>228</v>
      </c>
      <c r="G3" s="2" t="s">
        <v>460</v>
      </c>
      <c r="H3" s="2" t="s">
        <v>231</v>
      </c>
    </row>
    <row r="4" spans="1:8" x14ac:dyDescent="0.3">
      <c r="A4" s="2" t="s">
        <v>464</v>
      </c>
      <c r="B4" s="6">
        <v>46239</v>
      </c>
      <c r="C4" s="2" t="s">
        <v>458</v>
      </c>
      <c r="D4" s="2" t="s">
        <v>465</v>
      </c>
      <c r="E4" s="3">
        <v>380</v>
      </c>
      <c r="F4" s="2" t="s">
        <v>234</v>
      </c>
      <c r="G4" s="2" t="s">
        <v>460</v>
      </c>
      <c r="H4" s="2" t="s">
        <v>231</v>
      </c>
    </row>
  </sheetData>
  <pageMargins left="0.75" right="0.75" top="1" bottom="1" header="0.5" footer="0.5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BF8F00"/>
  </sheetPr>
  <dimension ref="A1:X31"/>
  <sheetViews>
    <sheetView showGridLines="0"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RowHeight="14.4" x14ac:dyDescent="0.3"/>
  <cols>
    <col min="1" max="2" width="12" customWidth="1"/>
    <col min="3" max="3" width="14" customWidth="1"/>
    <col min="4" max="4" width="13" customWidth="1"/>
    <col min="5" max="5" width="10" customWidth="1"/>
    <col min="6" max="7" width="12" customWidth="1"/>
    <col min="8" max="8" width="14" customWidth="1"/>
    <col min="9" max="11" width="12" customWidth="1"/>
    <col min="12" max="12" width="16" customWidth="1"/>
    <col min="13" max="13" width="14" customWidth="1"/>
    <col min="14" max="14" width="16" customWidth="1"/>
    <col min="15" max="16" width="8" customWidth="1"/>
    <col min="17" max="19" width="16" customWidth="1"/>
    <col min="20" max="20" width="12" customWidth="1"/>
    <col min="21" max="23" width="16" customWidth="1"/>
    <col min="24" max="24" width="20" customWidth="1"/>
  </cols>
  <sheetData>
    <row r="1" spans="1:24" ht="26.4" x14ac:dyDescent="0.3">
      <c r="A1" s="11" t="s">
        <v>257</v>
      </c>
      <c r="B1" s="11" t="s">
        <v>109</v>
      </c>
      <c r="C1" s="11" t="s">
        <v>121</v>
      </c>
      <c r="D1" s="11" t="s">
        <v>258</v>
      </c>
      <c r="E1" s="11" t="s">
        <v>11</v>
      </c>
      <c r="F1" s="11" t="s">
        <v>466</v>
      </c>
      <c r="G1" s="11" t="s">
        <v>467</v>
      </c>
      <c r="H1" s="11" t="s">
        <v>468</v>
      </c>
      <c r="I1" s="11" t="s">
        <v>469</v>
      </c>
      <c r="J1" s="11" t="s">
        <v>470</v>
      </c>
      <c r="K1" s="11" t="s">
        <v>471</v>
      </c>
      <c r="L1" s="11" t="s">
        <v>472</v>
      </c>
      <c r="M1" s="11" t="s">
        <v>473</v>
      </c>
      <c r="N1" s="11" t="s">
        <v>474</v>
      </c>
      <c r="O1" s="11" t="s">
        <v>14</v>
      </c>
      <c r="P1" s="11" t="s">
        <v>338</v>
      </c>
      <c r="Q1" s="11" t="s">
        <v>475</v>
      </c>
      <c r="R1" s="11" t="s">
        <v>476</v>
      </c>
      <c r="S1" s="11" t="s">
        <v>477</v>
      </c>
      <c r="T1" s="11" t="s">
        <v>478</v>
      </c>
      <c r="U1" s="11" t="s">
        <v>479</v>
      </c>
      <c r="V1" s="11" t="s">
        <v>480</v>
      </c>
      <c r="W1" s="11" t="s">
        <v>481</v>
      </c>
      <c r="X1" s="11" t="s">
        <v>482</v>
      </c>
    </row>
    <row r="2" spans="1:24" x14ac:dyDescent="0.3">
      <c r="A2" s="2" t="str">
        <f>IFERROR(INDEX(reg_Flocks[FlockID],ROW()-1),"")</f>
        <v>FLK-001</v>
      </c>
      <c r="B2" s="2" t="str">
        <f>IF($A2="","",IFERROR(INDEX(mst_Houses[HouseCode],MATCH(INDEX(reg_Flocks[HouseID],MATCH($A2,reg_Flocks[FlockID],0)),mst_Houses[HouseID],0)),""))</f>
        <v>H-01</v>
      </c>
      <c r="C2" s="2" t="str">
        <f>IF($A2="","",IFERROR(INDEX(mst_Breeds[BreedName],MATCH(INDEX(reg_Flocks[BreedID],MATCH($A2,reg_Flocks[FlockID],0)),mst_Breeds[BreedID],0)),""))</f>
        <v>Ross 308</v>
      </c>
      <c r="D2" s="6">
        <f>IF($A2="","",INDEX(reg_Flocks[PlacedDate],MATCH($A2,reg_Flocks[FlockID],0)))</f>
        <v>46162</v>
      </c>
      <c r="E2" s="2" t="str">
        <f>IF($A2="","",INDEX(reg_Flocks[Status],MATCH($A2,reg_Flocks[FlockID],0)))</f>
        <v>Closed</v>
      </c>
      <c r="F2" s="7">
        <f t="shared" ref="F2:F31" ca="1" si="0">IF($A2="","",TODAY()-$D2)</f>
        <v>84</v>
      </c>
      <c r="G2" s="7">
        <f>IF($A2="","",INDEX(reg_Flocks[InitialBirdCount],MATCH($A2,reg_Flocks[FlockID],0)))</f>
        <v>5000</v>
      </c>
      <c r="H2" s="7">
        <f>IF($A2="","",SUMIFS(reg_DailyMortality[MortalityCount],reg_DailyMortality[FlockID],$A2))</f>
        <v>29</v>
      </c>
      <c r="I2" s="7">
        <f t="shared" ref="I2:I31" si="1">IF($A2="","",$G2-$H2)</f>
        <v>4971</v>
      </c>
      <c r="J2" s="12">
        <f t="shared" ref="J2:J31" si="2">IF($A2="","",IFERROR($I2/$G2,0))</f>
        <v>0.99419999999999997</v>
      </c>
      <c r="K2" s="7">
        <f>IF($A2="","",SUMIFS(reg_FeedConsumption[KgUsed],reg_FeedConsumption[FlockID],$A2))</f>
        <v>15000</v>
      </c>
      <c r="L2" s="3">
        <f>IF($A2="","",SUMIFS(reg_FeedConsumption[CostZMW],reg_FeedConsumption[FlockID],$A2))</f>
        <v>172940</v>
      </c>
      <c r="M2" s="6">
        <f>IF($A2="","",IFERROR(_xlfn.MAXIFS(reg_WeeklyWeights[Date],reg_WeeklyWeights[FlockID],$A2),""))</f>
        <v>46204</v>
      </c>
      <c r="N2" s="7">
        <f>IF($A2="","",IFERROR(SUMIFS(reg_WeeklyWeights[AvgBodyWeightG],reg_WeeklyWeights[FlockID],$A2,reg_WeeklyWeights[Date],$M2),0))</f>
        <v>2400</v>
      </c>
      <c r="O2" s="13">
        <f t="shared" ref="O2:O31" si="3">IF($A2="","",IFERROR($K2/($I2*$N2/1000),0))</f>
        <v>1.2572922953128143</v>
      </c>
      <c r="P2" s="9">
        <f t="shared" ref="P2:P31" ca="1" si="4">IF($A2="","",IFERROR($N2/$F2,0))</f>
        <v>28.571428571428573</v>
      </c>
      <c r="Q2" s="3">
        <f>IF($A2="","",SUMIFS(reg_Expenses[Amount_ZMW],reg_Expenses[FlockID],$A2))</f>
        <v>28850</v>
      </c>
      <c r="R2" s="3">
        <f>IF($A2="","",SUMIFS(reg_MedicineStock[TotalCost_ZMW],reg_MedicineStock[FlockID],$A2))</f>
        <v>600</v>
      </c>
      <c r="S2" s="3">
        <f>IF($A2="","",SUMIFS(reg_Sales_Dispatch[TotalValue_ZMW],reg_Sales_Dispatch[FlockID],$A2))</f>
        <v>467412.5</v>
      </c>
      <c r="T2" s="7">
        <f>IF($A2="","",SUMIFS(reg_Sales_Dispatch[BirdsDispatched],reg_Sales_Dispatch[FlockID],$A2))</f>
        <v>4950</v>
      </c>
      <c r="U2" s="3">
        <f t="shared" ref="U2:U31" si="5">IF($A2="","",IFERROR(($Q2+$L2+$R2)/$G2,0))</f>
        <v>40.478000000000002</v>
      </c>
      <c r="V2" s="3">
        <f t="shared" ref="V2:V31" si="6">IF($A2="","",IFERROR(($Q2+$L2+$R2)/($I2*$N2/1000),0))</f>
        <v>16.964225843224032</v>
      </c>
      <c r="W2" s="3">
        <f t="shared" ref="W2:W31" si="7">IF($A2="","",$S2-$Q2-$L2-$R2)</f>
        <v>265022.5</v>
      </c>
      <c r="X2" s="3">
        <f t="shared" ref="X2:X31" si="8">IF($A2="","",IFERROR(($Q2+$L2+$R2)/IF($T2&gt;0,$T2,$G2),0))</f>
        <v>40.886868686868688</v>
      </c>
    </row>
    <row r="3" spans="1:24" x14ac:dyDescent="0.3">
      <c r="A3" s="2" t="str">
        <f>IFERROR(INDEX(reg_Flocks[FlockID],ROW()-1),"")</f>
        <v>FLK-002</v>
      </c>
      <c r="B3" s="2" t="str">
        <f>IF($A3="","",IFERROR(INDEX(mst_Houses[HouseCode],MATCH(INDEX(reg_Flocks[HouseID],MATCH($A3,reg_Flocks[FlockID],0)),mst_Houses[HouseID],0)),""))</f>
        <v>H-02</v>
      </c>
      <c r="C3" s="2" t="str">
        <f>IF($A3="","",IFERROR(INDEX(mst_Breeds[BreedName],MATCH(INDEX(reg_Flocks[BreedID],MATCH($A3,reg_Flocks[FlockID],0)),mst_Breeds[BreedID],0)),""))</f>
        <v>Cobb 500</v>
      </c>
      <c r="D3" s="6">
        <f>IF($A3="","",INDEX(reg_Flocks[PlacedDate],MATCH($A3,reg_Flocks[FlockID],0)))</f>
        <v>46198</v>
      </c>
      <c r="E3" s="2" t="str">
        <f>IF($A3="","",INDEX(reg_Flocks[Status],MATCH($A3,reg_Flocks[FlockID],0)))</f>
        <v>Active</v>
      </c>
      <c r="F3" s="7">
        <f t="shared" ca="1" si="0"/>
        <v>48</v>
      </c>
      <c r="G3" s="7">
        <f>IF($A3="","",INDEX(reg_Flocks[InitialBirdCount],MATCH($A3,reg_Flocks[FlockID],0)))</f>
        <v>5000</v>
      </c>
      <c r="H3" s="7">
        <f>IF($A3="","",SUMIFS(reg_DailyMortality[MortalityCount],reg_DailyMortality[FlockID],$A3))</f>
        <v>33</v>
      </c>
      <c r="I3" s="7">
        <f t="shared" si="1"/>
        <v>4967</v>
      </c>
      <c r="J3" s="12">
        <f t="shared" si="2"/>
        <v>0.99339999999999995</v>
      </c>
      <c r="K3" s="7">
        <f>IF($A3="","",SUMIFS(reg_FeedConsumption[KgUsed],reg_FeedConsumption[FlockID],$A3))</f>
        <v>18000</v>
      </c>
      <c r="L3" s="3">
        <f>IF($A3="","",SUMIFS(reg_FeedConsumption[CostZMW],reg_FeedConsumption[FlockID],$A3))</f>
        <v>207528</v>
      </c>
      <c r="M3" s="6">
        <f>IF($A3="","",IFERROR(_xlfn.MAXIFS(reg_WeeklyWeights[Date],reg_WeeklyWeights[FlockID],$A3),""))</f>
        <v>46240</v>
      </c>
      <c r="N3" s="7">
        <f>IF($A3="","",IFERROR(SUMIFS(reg_WeeklyWeights[AvgBodyWeightG],reg_WeeklyWeights[FlockID],$A3,reg_WeeklyWeights[Date],$M3),0))</f>
        <v>2400</v>
      </c>
      <c r="O3" s="13">
        <f t="shared" si="3"/>
        <v>1.5099657741091204</v>
      </c>
      <c r="P3" s="9">
        <f t="shared" ca="1" si="4"/>
        <v>50</v>
      </c>
      <c r="Q3" s="3">
        <f>IF($A3="","",SUMIFS(reg_Expenses[Amount_ZMW],reg_Expenses[FlockID],$A3))</f>
        <v>28300</v>
      </c>
      <c r="R3" s="3">
        <f>IF($A3="","",SUMIFS(reg_MedicineStock[TotalCost_ZMW],reg_MedicineStock[FlockID],$A3))</f>
        <v>850</v>
      </c>
      <c r="S3" s="3">
        <f>IF($A3="","",SUMIFS(reg_Sales_Dispatch[TotalValue_ZMW],reg_Sales_Dispatch[FlockID],$A3))</f>
        <v>0</v>
      </c>
      <c r="T3" s="7">
        <f>IF($A3="","",SUMIFS(reg_Sales_Dispatch[BirdsDispatched],reg_Sales_Dispatch[FlockID],$A3))</f>
        <v>0</v>
      </c>
      <c r="U3" s="3">
        <f t="shared" si="5"/>
        <v>47.335599999999999</v>
      </c>
      <c r="V3" s="3">
        <f t="shared" si="6"/>
        <v>19.854204415811022</v>
      </c>
      <c r="W3" s="3">
        <f t="shared" si="7"/>
        <v>-236678</v>
      </c>
      <c r="X3" s="3">
        <f t="shared" si="8"/>
        <v>47.335599999999999</v>
      </c>
    </row>
    <row r="4" spans="1:24" x14ac:dyDescent="0.3">
      <c r="A4" s="2" t="str">
        <f>IFERROR(INDEX(reg_Flocks[FlockID],ROW()-1),"")</f>
        <v>FLK-003</v>
      </c>
      <c r="B4" s="2" t="str">
        <f>IF($A4="","",IFERROR(INDEX(mst_Houses[HouseCode],MATCH(INDEX(reg_Flocks[HouseID],MATCH($A4,reg_Flocks[FlockID],0)),mst_Houses[HouseID],0)),""))</f>
        <v>H-03</v>
      </c>
      <c r="C4" s="2" t="str">
        <f>IF($A4="","",IFERROR(INDEX(mst_Breeds[BreedName],MATCH(INDEX(reg_Flocks[BreedID],MATCH($A4,reg_Flocks[FlockID],0)),mst_Breeds[BreedID],0)),""))</f>
        <v>Ross 308</v>
      </c>
      <c r="D4" s="6">
        <f>IF($A4="","",INDEX(reg_Flocks[PlacedDate],MATCH($A4,reg_Flocks[FlockID],0)))</f>
        <v>46218</v>
      </c>
      <c r="E4" s="2" t="str">
        <f>IF($A4="","",INDEX(reg_Flocks[Status],MATCH($A4,reg_Flocks[FlockID],0)))</f>
        <v>Active</v>
      </c>
      <c r="F4" s="7">
        <f t="shared" ca="1" si="0"/>
        <v>28</v>
      </c>
      <c r="G4" s="7">
        <f>IF($A4="","",INDEX(reg_Flocks[InitialBirdCount],MATCH($A4,reg_Flocks[FlockID],0)))</f>
        <v>4000</v>
      </c>
      <c r="H4" s="7">
        <f>IF($A4="","",SUMIFS(reg_DailyMortality[MortalityCount],reg_DailyMortality[FlockID],$A4))</f>
        <v>22</v>
      </c>
      <c r="I4" s="7">
        <f t="shared" si="1"/>
        <v>3978</v>
      </c>
      <c r="J4" s="12">
        <f t="shared" si="2"/>
        <v>0.99450000000000005</v>
      </c>
      <c r="K4" s="7">
        <f>IF($A4="","",SUMIFS(reg_FeedConsumption[KgUsed],reg_FeedConsumption[FlockID],$A4))</f>
        <v>4488</v>
      </c>
      <c r="L4" s="3">
        <f>IF($A4="","",SUMIFS(reg_FeedConsumption[CostZMW],reg_FeedConsumption[FlockID],$A4))</f>
        <v>53624.800000000003</v>
      </c>
      <c r="M4" s="6">
        <f>IF($A4="","",IFERROR(_xlfn.MAXIFS(reg_WeeklyWeights[Date],reg_WeeklyWeights[FlockID],$A4),""))</f>
        <v>46239</v>
      </c>
      <c r="N4" s="7">
        <f>IF($A4="","",IFERROR(SUMIFS(reg_WeeklyWeights[AvgBodyWeightG],reg_WeeklyWeights[FlockID],$A4,reg_WeeklyWeights[Date],$M4),0))</f>
        <v>800</v>
      </c>
      <c r="O4" s="13">
        <f t="shared" si="3"/>
        <v>1.4102564102564101</v>
      </c>
      <c r="P4" s="9">
        <f t="shared" ca="1" si="4"/>
        <v>28.571428571428573</v>
      </c>
      <c r="Q4" s="3">
        <f>IF($A4="","",SUMIFS(reg_Expenses[Amount_ZMW],reg_Expenses[FlockID],$A4))</f>
        <v>21450</v>
      </c>
      <c r="R4" s="3">
        <f>IF($A4="","",SUMIFS(reg_MedicineStock[TotalCost_ZMW],reg_MedicineStock[FlockID],$A4))</f>
        <v>0</v>
      </c>
      <c r="S4" s="3">
        <f>IF($A4="","",SUMIFS(reg_Sales_Dispatch[TotalValue_ZMW],reg_Sales_Dispatch[FlockID],$A4))</f>
        <v>0</v>
      </c>
      <c r="T4" s="7">
        <f>IF($A4="","",SUMIFS(reg_Sales_Dispatch[BirdsDispatched],reg_Sales_Dispatch[FlockID],$A4))</f>
        <v>0</v>
      </c>
      <c r="U4" s="3">
        <f t="shared" si="5"/>
        <v>18.768699999999999</v>
      </c>
      <c r="V4" s="3">
        <f t="shared" si="6"/>
        <v>23.590623428858724</v>
      </c>
      <c r="W4" s="3">
        <f t="shared" si="7"/>
        <v>-75074.8</v>
      </c>
      <c r="X4" s="3">
        <f t="shared" si="8"/>
        <v>18.768699999999999</v>
      </c>
    </row>
    <row r="5" spans="1:24" x14ac:dyDescent="0.3">
      <c r="A5" s="2" t="str">
        <f>IFERROR(INDEX(reg_Flocks[FlockID],ROW()-1),"")</f>
        <v>FLK-004</v>
      </c>
      <c r="B5" s="2" t="str">
        <f>IF($A5="","",IFERROR(INDEX(mst_Houses[HouseCode],MATCH(INDEX(reg_Flocks[HouseID],MATCH($A5,reg_Flocks[FlockID],0)),mst_Houses[HouseID],0)),""))</f>
        <v>H-01</v>
      </c>
      <c r="C5" s="2" t="str">
        <f>IF($A5="","",IFERROR(INDEX(mst_Breeds[BreedName],MATCH(INDEX(reg_Flocks[BreedID],MATCH($A5,reg_Flocks[FlockID],0)),mst_Breeds[BreedID],0)),""))</f>
        <v>Arbor Acres</v>
      </c>
      <c r="D5" s="6">
        <f>IF($A5="","",INDEX(reg_Flocks[PlacedDate],MATCH($A5,reg_Flocks[FlockID],0)))</f>
        <v>46235</v>
      </c>
      <c r="E5" s="2" t="str">
        <f>IF($A5="","",INDEX(reg_Flocks[Status],MATCH($A5,reg_Flocks[FlockID],0)))</f>
        <v>Active</v>
      </c>
      <c r="F5" s="7">
        <f t="shared" ca="1" si="0"/>
        <v>11</v>
      </c>
      <c r="G5" s="7">
        <f>IF($A5="","",INDEX(reg_Flocks[InitialBirdCount],MATCH($A5,reg_Flocks[FlockID],0)))</f>
        <v>5000</v>
      </c>
      <c r="H5" s="7">
        <f>IF($A5="","",SUMIFS(reg_DailyMortality[MortalityCount],reg_DailyMortality[FlockID],$A5))</f>
        <v>15</v>
      </c>
      <c r="I5" s="7">
        <f t="shared" si="1"/>
        <v>4985</v>
      </c>
      <c r="J5" s="12">
        <f t="shared" si="2"/>
        <v>0.997</v>
      </c>
      <c r="K5" s="7">
        <f>IF($A5="","",SUMIFS(reg_FeedConsumption[KgUsed],reg_FeedConsumption[FlockID],$A5))</f>
        <v>630</v>
      </c>
      <c r="L5" s="3">
        <f>IF($A5="","",SUMIFS(reg_FeedConsumption[CostZMW],reg_FeedConsumption[FlockID],$A5))</f>
        <v>7875</v>
      </c>
      <c r="M5" s="6">
        <f>IF($A5="","",IFERROR(_xlfn.MAXIFS(reg_WeeklyWeights[Date],reg_WeeklyWeights[FlockID],$A5),""))</f>
        <v>46242</v>
      </c>
      <c r="N5" s="7">
        <f>IF($A5="","",IFERROR(SUMIFS(reg_WeeklyWeights[AvgBodyWeightG],reg_WeeklyWeights[FlockID],$A5,reg_WeeklyWeights[Date],$M5),0))</f>
        <v>180</v>
      </c>
      <c r="O5" s="13">
        <f t="shared" si="3"/>
        <v>0.7021063189568707</v>
      </c>
      <c r="P5" s="9">
        <f t="shared" ca="1" si="4"/>
        <v>16.363636363636363</v>
      </c>
      <c r="Q5" s="3">
        <f>IF($A5="","",SUMIFS(reg_Expenses[Amount_ZMW],reg_Expenses[FlockID],$A5))</f>
        <v>24300</v>
      </c>
      <c r="R5" s="3">
        <f>IF($A5="","",SUMIFS(reg_MedicineStock[TotalCost_ZMW],reg_MedicineStock[FlockID],$A5))</f>
        <v>0</v>
      </c>
      <c r="S5" s="3">
        <f>IF($A5="","",SUMIFS(reg_Sales_Dispatch[TotalValue_ZMW],reg_Sales_Dispatch[FlockID],$A5))</f>
        <v>0</v>
      </c>
      <c r="T5" s="7">
        <f>IF($A5="","",SUMIFS(reg_Sales_Dispatch[BirdsDispatched],reg_Sales_Dispatch[FlockID],$A5))</f>
        <v>0</v>
      </c>
      <c r="U5" s="3">
        <f t="shared" si="5"/>
        <v>6.4349999999999996</v>
      </c>
      <c r="V5" s="3">
        <f t="shared" si="6"/>
        <v>35.857572718154465</v>
      </c>
      <c r="W5" s="3">
        <f t="shared" si="7"/>
        <v>-32175</v>
      </c>
      <c r="X5" s="3">
        <f t="shared" si="8"/>
        <v>6.4349999999999996</v>
      </c>
    </row>
    <row r="6" spans="1:24" x14ac:dyDescent="0.3">
      <c r="A6" s="2" t="str">
        <f>IFERROR(INDEX(reg_Flocks[FlockID],ROW()-1),"")</f>
        <v/>
      </c>
      <c r="B6" s="2" t="str">
        <f>IF($A6="","",IFERROR(INDEX(mst_Houses[HouseCode],MATCH(INDEX(reg_Flocks[HouseID],MATCH($A6,reg_Flocks[FlockID],0)),mst_Houses[HouseID],0)),""))</f>
        <v/>
      </c>
      <c r="C6" s="2" t="str">
        <f>IF($A6="","",IFERROR(INDEX(mst_Breeds[BreedName],MATCH(INDEX(reg_Flocks[BreedID],MATCH($A6,reg_Flocks[FlockID],0)),mst_Breeds[BreedID],0)),""))</f>
        <v/>
      </c>
      <c r="D6" s="6" t="str">
        <f>IF($A6="","",INDEX(reg_Flocks[PlacedDate],MATCH($A6,reg_Flocks[FlockID],0)))</f>
        <v/>
      </c>
      <c r="E6" s="2" t="str">
        <f>IF($A6="","",INDEX(reg_Flocks[Status],MATCH($A6,reg_Flocks[FlockID],0)))</f>
        <v/>
      </c>
      <c r="F6" s="7" t="str">
        <f t="shared" ca="1" si="0"/>
        <v/>
      </c>
      <c r="G6" s="7" t="str">
        <f>IF($A6="","",INDEX(reg_Flocks[InitialBirdCount],MATCH($A6,reg_Flocks[FlockID],0)))</f>
        <v/>
      </c>
      <c r="H6" s="7" t="str">
        <f>IF($A6="","",SUMIFS(reg_DailyMortality[MortalityCount],reg_DailyMortality[FlockID],$A6))</f>
        <v/>
      </c>
      <c r="I6" s="7" t="str">
        <f t="shared" si="1"/>
        <v/>
      </c>
      <c r="J6" s="12" t="str">
        <f t="shared" si="2"/>
        <v/>
      </c>
      <c r="K6" s="7" t="str">
        <f>IF($A6="","",SUMIFS(reg_FeedConsumption[KgUsed],reg_FeedConsumption[FlockID],$A6))</f>
        <v/>
      </c>
      <c r="L6" s="3" t="str">
        <f>IF($A6="","",SUMIFS(reg_FeedConsumption[CostZMW],reg_FeedConsumption[FlockID],$A6))</f>
        <v/>
      </c>
      <c r="M6" s="6" t="str">
        <f>IF($A6="","",IFERROR(_xlfn.MAXIFS(reg_WeeklyWeights[Date],reg_WeeklyWeights[FlockID],$A6),""))</f>
        <v/>
      </c>
      <c r="N6" s="7" t="str">
        <f>IF($A6="","",IFERROR(SUMIFS(reg_WeeklyWeights[AvgBodyWeightG],reg_WeeklyWeights[FlockID],$A6,reg_WeeklyWeights[Date],$M6),0))</f>
        <v/>
      </c>
      <c r="O6" s="13" t="str">
        <f t="shared" si="3"/>
        <v/>
      </c>
      <c r="P6" s="9" t="str">
        <f t="shared" si="4"/>
        <v/>
      </c>
      <c r="Q6" s="3" t="str">
        <f>IF($A6="","",SUMIFS(reg_Expenses[Amount_ZMW],reg_Expenses[FlockID],$A6))</f>
        <v/>
      </c>
      <c r="R6" s="3" t="str">
        <f>IF($A6="","",SUMIFS(reg_MedicineStock[TotalCost_ZMW],reg_MedicineStock[FlockID],$A6))</f>
        <v/>
      </c>
      <c r="S6" s="3" t="str">
        <f>IF($A6="","",SUMIFS(reg_Sales_Dispatch[TotalValue_ZMW],reg_Sales_Dispatch[FlockID],$A6))</f>
        <v/>
      </c>
      <c r="T6" s="7" t="str">
        <f>IF($A6="","",SUMIFS(reg_Sales_Dispatch[BirdsDispatched],reg_Sales_Dispatch[FlockID],$A6))</f>
        <v/>
      </c>
      <c r="U6" s="3" t="str">
        <f t="shared" si="5"/>
        <v/>
      </c>
      <c r="V6" s="3" t="str">
        <f t="shared" si="6"/>
        <v/>
      </c>
      <c r="W6" s="3" t="str">
        <f t="shared" si="7"/>
        <v/>
      </c>
      <c r="X6" s="3" t="str">
        <f t="shared" si="8"/>
        <v/>
      </c>
    </row>
    <row r="7" spans="1:24" x14ac:dyDescent="0.3">
      <c r="A7" s="2" t="str">
        <f>IFERROR(INDEX(reg_Flocks[FlockID],ROW()-1),"")</f>
        <v/>
      </c>
      <c r="B7" s="2" t="str">
        <f>IF($A7="","",IFERROR(INDEX(mst_Houses[HouseCode],MATCH(INDEX(reg_Flocks[HouseID],MATCH($A7,reg_Flocks[FlockID],0)),mst_Houses[HouseID],0)),""))</f>
        <v/>
      </c>
      <c r="C7" s="2" t="str">
        <f>IF($A7="","",IFERROR(INDEX(mst_Breeds[BreedName],MATCH(INDEX(reg_Flocks[BreedID],MATCH($A7,reg_Flocks[FlockID],0)),mst_Breeds[BreedID],0)),""))</f>
        <v/>
      </c>
      <c r="D7" s="6" t="str">
        <f>IF($A7="","",INDEX(reg_Flocks[PlacedDate],MATCH($A7,reg_Flocks[FlockID],0)))</f>
        <v/>
      </c>
      <c r="E7" s="2" t="str">
        <f>IF($A7="","",INDEX(reg_Flocks[Status],MATCH($A7,reg_Flocks[FlockID],0)))</f>
        <v/>
      </c>
      <c r="F7" s="7" t="str">
        <f t="shared" ca="1" si="0"/>
        <v/>
      </c>
      <c r="G7" s="7" t="str">
        <f>IF($A7="","",INDEX(reg_Flocks[InitialBirdCount],MATCH($A7,reg_Flocks[FlockID],0)))</f>
        <v/>
      </c>
      <c r="H7" s="7" t="str">
        <f>IF($A7="","",SUMIFS(reg_DailyMortality[MortalityCount],reg_DailyMortality[FlockID],$A7))</f>
        <v/>
      </c>
      <c r="I7" s="7" t="str">
        <f t="shared" si="1"/>
        <v/>
      </c>
      <c r="J7" s="12" t="str">
        <f t="shared" si="2"/>
        <v/>
      </c>
      <c r="K7" s="7" t="str">
        <f>IF($A7="","",SUMIFS(reg_FeedConsumption[KgUsed],reg_FeedConsumption[FlockID],$A7))</f>
        <v/>
      </c>
      <c r="L7" s="3" t="str">
        <f>IF($A7="","",SUMIFS(reg_FeedConsumption[CostZMW],reg_FeedConsumption[FlockID],$A7))</f>
        <v/>
      </c>
      <c r="M7" s="6" t="str">
        <f>IF($A7="","",IFERROR(_xlfn.MAXIFS(reg_WeeklyWeights[Date],reg_WeeklyWeights[FlockID],$A7),""))</f>
        <v/>
      </c>
      <c r="N7" s="7" t="str">
        <f>IF($A7="","",IFERROR(SUMIFS(reg_WeeklyWeights[AvgBodyWeightG],reg_WeeklyWeights[FlockID],$A7,reg_WeeklyWeights[Date],$M7),0))</f>
        <v/>
      </c>
      <c r="O7" s="13" t="str">
        <f t="shared" si="3"/>
        <v/>
      </c>
      <c r="P7" s="9" t="str">
        <f t="shared" si="4"/>
        <v/>
      </c>
      <c r="Q7" s="3" t="str">
        <f>IF($A7="","",SUMIFS(reg_Expenses[Amount_ZMW],reg_Expenses[FlockID],$A7))</f>
        <v/>
      </c>
      <c r="R7" s="3" t="str">
        <f>IF($A7="","",SUMIFS(reg_MedicineStock[TotalCost_ZMW],reg_MedicineStock[FlockID],$A7))</f>
        <v/>
      </c>
      <c r="S7" s="3" t="str">
        <f>IF($A7="","",SUMIFS(reg_Sales_Dispatch[TotalValue_ZMW],reg_Sales_Dispatch[FlockID],$A7))</f>
        <v/>
      </c>
      <c r="T7" s="7" t="str">
        <f>IF($A7="","",SUMIFS(reg_Sales_Dispatch[BirdsDispatched],reg_Sales_Dispatch[FlockID],$A7))</f>
        <v/>
      </c>
      <c r="U7" s="3" t="str">
        <f t="shared" si="5"/>
        <v/>
      </c>
      <c r="V7" s="3" t="str">
        <f t="shared" si="6"/>
        <v/>
      </c>
      <c r="W7" s="3" t="str">
        <f t="shared" si="7"/>
        <v/>
      </c>
      <c r="X7" s="3" t="str">
        <f t="shared" si="8"/>
        <v/>
      </c>
    </row>
    <row r="8" spans="1:24" x14ac:dyDescent="0.3">
      <c r="A8" s="2" t="str">
        <f>IFERROR(INDEX(reg_Flocks[FlockID],ROW()-1),"")</f>
        <v/>
      </c>
      <c r="B8" s="2" t="str">
        <f>IF($A8="","",IFERROR(INDEX(mst_Houses[HouseCode],MATCH(INDEX(reg_Flocks[HouseID],MATCH($A8,reg_Flocks[FlockID],0)),mst_Houses[HouseID],0)),""))</f>
        <v/>
      </c>
      <c r="C8" s="2" t="str">
        <f>IF($A8="","",IFERROR(INDEX(mst_Breeds[BreedName],MATCH(INDEX(reg_Flocks[BreedID],MATCH($A8,reg_Flocks[FlockID],0)),mst_Breeds[BreedID],0)),""))</f>
        <v/>
      </c>
      <c r="D8" s="6" t="str">
        <f>IF($A8="","",INDEX(reg_Flocks[PlacedDate],MATCH($A8,reg_Flocks[FlockID],0)))</f>
        <v/>
      </c>
      <c r="E8" s="2" t="str">
        <f>IF($A8="","",INDEX(reg_Flocks[Status],MATCH($A8,reg_Flocks[FlockID],0)))</f>
        <v/>
      </c>
      <c r="F8" s="7" t="str">
        <f t="shared" ca="1" si="0"/>
        <v/>
      </c>
      <c r="G8" s="7" t="str">
        <f>IF($A8="","",INDEX(reg_Flocks[InitialBirdCount],MATCH($A8,reg_Flocks[FlockID],0)))</f>
        <v/>
      </c>
      <c r="H8" s="7" t="str">
        <f>IF($A8="","",SUMIFS(reg_DailyMortality[MortalityCount],reg_DailyMortality[FlockID],$A8))</f>
        <v/>
      </c>
      <c r="I8" s="7" t="str">
        <f t="shared" si="1"/>
        <v/>
      </c>
      <c r="J8" s="12" t="str">
        <f t="shared" si="2"/>
        <v/>
      </c>
      <c r="K8" s="7" t="str">
        <f>IF($A8="","",SUMIFS(reg_FeedConsumption[KgUsed],reg_FeedConsumption[FlockID],$A8))</f>
        <v/>
      </c>
      <c r="L8" s="3" t="str">
        <f>IF($A8="","",SUMIFS(reg_FeedConsumption[CostZMW],reg_FeedConsumption[FlockID],$A8))</f>
        <v/>
      </c>
      <c r="M8" s="6" t="str">
        <f>IF($A8="","",IFERROR(_xlfn.MAXIFS(reg_WeeklyWeights[Date],reg_WeeklyWeights[FlockID],$A8),""))</f>
        <v/>
      </c>
      <c r="N8" s="7" t="str">
        <f>IF($A8="","",IFERROR(SUMIFS(reg_WeeklyWeights[AvgBodyWeightG],reg_WeeklyWeights[FlockID],$A8,reg_WeeklyWeights[Date],$M8),0))</f>
        <v/>
      </c>
      <c r="O8" s="13" t="str">
        <f t="shared" si="3"/>
        <v/>
      </c>
      <c r="P8" s="9" t="str">
        <f t="shared" si="4"/>
        <v/>
      </c>
      <c r="Q8" s="3" t="str">
        <f>IF($A8="","",SUMIFS(reg_Expenses[Amount_ZMW],reg_Expenses[FlockID],$A8))</f>
        <v/>
      </c>
      <c r="R8" s="3" t="str">
        <f>IF($A8="","",SUMIFS(reg_MedicineStock[TotalCost_ZMW],reg_MedicineStock[FlockID],$A8))</f>
        <v/>
      </c>
      <c r="S8" s="3" t="str">
        <f>IF($A8="","",SUMIFS(reg_Sales_Dispatch[TotalValue_ZMW],reg_Sales_Dispatch[FlockID],$A8))</f>
        <v/>
      </c>
      <c r="T8" s="7" t="str">
        <f>IF($A8="","",SUMIFS(reg_Sales_Dispatch[BirdsDispatched],reg_Sales_Dispatch[FlockID],$A8))</f>
        <v/>
      </c>
      <c r="U8" s="3" t="str">
        <f t="shared" si="5"/>
        <v/>
      </c>
      <c r="V8" s="3" t="str">
        <f t="shared" si="6"/>
        <v/>
      </c>
      <c r="W8" s="3" t="str">
        <f t="shared" si="7"/>
        <v/>
      </c>
      <c r="X8" s="3" t="str">
        <f t="shared" si="8"/>
        <v/>
      </c>
    </row>
    <row r="9" spans="1:24" x14ac:dyDescent="0.3">
      <c r="A9" s="2" t="str">
        <f>IFERROR(INDEX(reg_Flocks[FlockID],ROW()-1),"")</f>
        <v/>
      </c>
      <c r="B9" s="2" t="str">
        <f>IF($A9="","",IFERROR(INDEX(mst_Houses[HouseCode],MATCH(INDEX(reg_Flocks[HouseID],MATCH($A9,reg_Flocks[FlockID],0)),mst_Houses[HouseID],0)),""))</f>
        <v/>
      </c>
      <c r="C9" s="2" t="str">
        <f>IF($A9="","",IFERROR(INDEX(mst_Breeds[BreedName],MATCH(INDEX(reg_Flocks[BreedID],MATCH($A9,reg_Flocks[FlockID],0)),mst_Breeds[BreedID],0)),""))</f>
        <v/>
      </c>
      <c r="D9" s="6" t="str">
        <f>IF($A9="","",INDEX(reg_Flocks[PlacedDate],MATCH($A9,reg_Flocks[FlockID],0)))</f>
        <v/>
      </c>
      <c r="E9" s="2" t="str">
        <f>IF($A9="","",INDEX(reg_Flocks[Status],MATCH($A9,reg_Flocks[FlockID],0)))</f>
        <v/>
      </c>
      <c r="F9" s="7" t="str">
        <f t="shared" ca="1" si="0"/>
        <v/>
      </c>
      <c r="G9" s="7" t="str">
        <f>IF($A9="","",INDEX(reg_Flocks[InitialBirdCount],MATCH($A9,reg_Flocks[FlockID],0)))</f>
        <v/>
      </c>
      <c r="H9" s="7" t="str">
        <f>IF($A9="","",SUMIFS(reg_DailyMortality[MortalityCount],reg_DailyMortality[FlockID],$A9))</f>
        <v/>
      </c>
      <c r="I9" s="7" t="str">
        <f t="shared" si="1"/>
        <v/>
      </c>
      <c r="J9" s="12" t="str">
        <f t="shared" si="2"/>
        <v/>
      </c>
      <c r="K9" s="7" t="str">
        <f>IF($A9="","",SUMIFS(reg_FeedConsumption[KgUsed],reg_FeedConsumption[FlockID],$A9))</f>
        <v/>
      </c>
      <c r="L9" s="3" t="str">
        <f>IF($A9="","",SUMIFS(reg_FeedConsumption[CostZMW],reg_FeedConsumption[FlockID],$A9))</f>
        <v/>
      </c>
      <c r="M9" s="6" t="str">
        <f>IF($A9="","",IFERROR(_xlfn.MAXIFS(reg_WeeklyWeights[Date],reg_WeeklyWeights[FlockID],$A9),""))</f>
        <v/>
      </c>
      <c r="N9" s="7" t="str">
        <f>IF($A9="","",IFERROR(SUMIFS(reg_WeeklyWeights[AvgBodyWeightG],reg_WeeklyWeights[FlockID],$A9,reg_WeeklyWeights[Date],$M9),0))</f>
        <v/>
      </c>
      <c r="O9" s="13" t="str">
        <f t="shared" si="3"/>
        <v/>
      </c>
      <c r="P9" s="9" t="str">
        <f t="shared" si="4"/>
        <v/>
      </c>
      <c r="Q9" s="3" t="str">
        <f>IF($A9="","",SUMIFS(reg_Expenses[Amount_ZMW],reg_Expenses[FlockID],$A9))</f>
        <v/>
      </c>
      <c r="R9" s="3" t="str">
        <f>IF($A9="","",SUMIFS(reg_MedicineStock[TotalCost_ZMW],reg_MedicineStock[FlockID],$A9))</f>
        <v/>
      </c>
      <c r="S9" s="3" t="str">
        <f>IF($A9="","",SUMIFS(reg_Sales_Dispatch[TotalValue_ZMW],reg_Sales_Dispatch[FlockID],$A9))</f>
        <v/>
      </c>
      <c r="T9" s="7" t="str">
        <f>IF($A9="","",SUMIFS(reg_Sales_Dispatch[BirdsDispatched],reg_Sales_Dispatch[FlockID],$A9))</f>
        <v/>
      </c>
      <c r="U9" s="3" t="str">
        <f t="shared" si="5"/>
        <v/>
      </c>
      <c r="V9" s="3" t="str">
        <f t="shared" si="6"/>
        <v/>
      </c>
      <c r="W9" s="3" t="str">
        <f t="shared" si="7"/>
        <v/>
      </c>
      <c r="X9" s="3" t="str">
        <f t="shared" si="8"/>
        <v/>
      </c>
    </row>
    <row r="10" spans="1:24" x14ac:dyDescent="0.3">
      <c r="A10" s="2" t="str">
        <f>IFERROR(INDEX(reg_Flocks[FlockID],ROW()-1),"")</f>
        <v/>
      </c>
      <c r="B10" s="2" t="str">
        <f>IF($A10="","",IFERROR(INDEX(mst_Houses[HouseCode],MATCH(INDEX(reg_Flocks[HouseID],MATCH($A10,reg_Flocks[FlockID],0)),mst_Houses[HouseID],0)),""))</f>
        <v/>
      </c>
      <c r="C10" s="2" t="str">
        <f>IF($A10="","",IFERROR(INDEX(mst_Breeds[BreedName],MATCH(INDEX(reg_Flocks[BreedID],MATCH($A10,reg_Flocks[FlockID],0)),mst_Breeds[BreedID],0)),""))</f>
        <v/>
      </c>
      <c r="D10" s="6" t="str">
        <f>IF($A10="","",INDEX(reg_Flocks[PlacedDate],MATCH($A10,reg_Flocks[FlockID],0)))</f>
        <v/>
      </c>
      <c r="E10" s="2" t="str">
        <f>IF($A10="","",INDEX(reg_Flocks[Status],MATCH($A10,reg_Flocks[FlockID],0)))</f>
        <v/>
      </c>
      <c r="F10" s="7" t="str">
        <f t="shared" ca="1" si="0"/>
        <v/>
      </c>
      <c r="G10" s="7" t="str">
        <f>IF($A10="","",INDEX(reg_Flocks[InitialBirdCount],MATCH($A10,reg_Flocks[FlockID],0)))</f>
        <v/>
      </c>
      <c r="H10" s="7" t="str">
        <f>IF($A10="","",SUMIFS(reg_DailyMortality[MortalityCount],reg_DailyMortality[FlockID],$A10))</f>
        <v/>
      </c>
      <c r="I10" s="7" t="str">
        <f t="shared" si="1"/>
        <v/>
      </c>
      <c r="J10" s="12" t="str">
        <f t="shared" si="2"/>
        <v/>
      </c>
      <c r="K10" s="7" t="str">
        <f>IF($A10="","",SUMIFS(reg_FeedConsumption[KgUsed],reg_FeedConsumption[FlockID],$A10))</f>
        <v/>
      </c>
      <c r="L10" s="3" t="str">
        <f>IF($A10="","",SUMIFS(reg_FeedConsumption[CostZMW],reg_FeedConsumption[FlockID],$A10))</f>
        <v/>
      </c>
      <c r="M10" s="6" t="str">
        <f>IF($A10="","",IFERROR(_xlfn.MAXIFS(reg_WeeklyWeights[Date],reg_WeeklyWeights[FlockID],$A10),""))</f>
        <v/>
      </c>
      <c r="N10" s="7" t="str">
        <f>IF($A10="","",IFERROR(SUMIFS(reg_WeeklyWeights[AvgBodyWeightG],reg_WeeklyWeights[FlockID],$A10,reg_WeeklyWeights[Date],$M10),0))</f>
        <v/>
      </c>
      <c r="O10" s="13" t="str">
        <f t="shared" si="3"/>
        <v/>
      </c>
      <c r="P10" s="9" t="str">
        <f t="shared" si="4"/>
        <v/>
      </c>
      <c r="Q10" s="3" t="str">
        <f>IF($A10="","",SUMIFS(reg_Expenses[Amount_ZMW],reg_Expenses[FlockID],$A10))</f>
        <v/>
      </c>
      <c r="R10" s="3" t="str">
        <f>IF($A10="","",SUMIFS(reg_MedicineStock[TotalCost_ZMW],reg_MedicineStock[FlockID],$A10))</f>
        <v/>
      </c>
      <c r="S10" s="3" t="str">
        <f>IF($A10="","",SUMIFS(reg_Sales_Dispatch[TotalValue_ZMW],reg_Sales_Dispatch[FlockID],$A10))</f>
        <v/>
      </c>
      <c r="T10" s="7" t="str">
        <f>IF($A10="","",SUMIFS(reg_Sales_Dispatch[BirdsDispatched],reg_Sales_Dispatch[FlockID],$A10))</f>
        <v/>
      </c>
      <c r="U10" s="3" t="str">
        <f t="shared" si="5"/>
        <v/>
      </c>
      <c r="V10" s="3" t="str">
        <f t="shared" si="6"/>
        <v/>
      </c>
      <c r="W10" s="3" t="str">
        <f t="shared" si="7"/>
        <v/>
      </c>
      <c r="X10" s="3" t="str">
        <f t="shared" si="8"/>
        <v/>
      </c>
    </row>
    <row r="11" spans="1:24" x14ac:dyDescent="0.3">
      <c r="A11" s="2" t="str">
        <f>IFERROR(INDEX(reg_Flocks[FlockID],ROW()-1),"")</f>
        <v/>
      </c>
      <c r="B11" s="2" t="str">
        <f>IF($A11="","",IFERROR(INDEX(mst_Houses[HouseCode],MATCH(INDEX(reg_Flocks[HouseID],MATCH($A11,reg_Flocks[FlockID],0)),mst_Houses[HouseID],0)),""))</f>
        <v/>
      </c>
      <c r="C11" s="2" t="str">
        <f>IF($A11="","",IFERROR(INDEX(mst_Breeds[BreedName],MATCH(INDEX(reg_Flocks[BreedID],MATCH($A11,reg_Flocks[FlockID],0)),mst_Breeds[BreedID],0)),""))</f>
        <v/>
      </c>
      <c r="D11" s="6" t="str">
        <f>IF($A11="","",INDEX(reg_Flocks[PlacedDate],MATCH($A11,reg_Flocks[FlockID],0)))</f>
        <v/>
      </c>
      <c r="E11" s="2" t="str">
        <f>IF($A11="","",INDEX(reg_Flocks[Status],MATCH($A11,reg_Flocks[FlockID],0)))</f>
        <v/>
      </c>
      <c r="F11" s="7" t="str">
        <f t="shared" ca="1" si="0"/>
        <v/>
      </c>
      <c r="G11" s="7" t="str">
        <f>IF($A11="","",INDEX(reg_Flocks[InitialBirdCount],MATCH($A11,reg_Flocks[FlockID],0)))</f>
        <v/>
      </c>
      <c r="H11" s="7" t="str">
        <f>IF($A11="","",SUMIFS(reg_DailyMortality[MortalityCount],reg_DailyMortality[FlockID],$A11))</f>
        <v/>
      </c>
      <c r="I11" s="7" t="str">
        <f t="shared" si="1"/>
        <v/>
      </c>
      <c r="J11" s="12" t="str">
        <f t="shared" si="2"/>
        <v/>
      </c>
      <c r="K11" s="7" t="str">
        <f>IF($A11="","",SUMIFS(reg_FeedConsumption[KgUsed],reg_FeedConsumption[FlockID],$A11))</f>
        <v/>
      </c>
      <c r="L11" s="3" t="str">
        <f>IF($A11="","",SUMIFS(reg_FeedConsumption[CostZMW],reg_FeedConsumption[FlockID],$A11))</f>
        <v/>
      </c>
      <c r="M11" s="6" t="str">
        <f>IF($A11="","",IFERROR(_xlfn.MAXIFS(reg_WeeklyWeights[Date],reg_WeeklyWeights[FlockID],$A11),""))</f>
        <v/>
      </c>
      <c r="N11" s="7" t="str">
        <f>IF($A11="","",IFERROR(SUMIFS(reg_WeeklyWeights[AvgBodyWeightG],reg_WeeklyWeights[FlockID],$A11,reg_WeeklyWeights[Date],$M11),0))</f>
        <v/>
      </c>
      <c r="O11" s="13" t="str">
        <f t="shared" si="3"/>
        <v/>
      </c>
      <c r="P11" s="9" t="str">
        <f t="shared" si="4"/>
        <v/>
      </c>
      <c r="Q11" s="3" t="str">
        <f>IF($A11="","",SUMIFS(reg_Expenses[Amount_ZMW],reg_Expenses[FlockID],$A11))</f>
        <v/>
      </c>
      <c r="R11" s="3" t="str">
        <f>IF($A11="","",SUMIFS(reg_MedicineStock[TotalCost_ZMW],reg_MedicineStock[FlockID],$A11))</f>
        <v/>
      </c>
      <c r="S11" s="3" t="str">
        <f>IF($A11="","",SUMIFS(reg_Sales_Dispatch[TotalValue_ZMW],reg_Sales_Dispatch[FlockID],$A11))</f>
        <v/>
      </c>
      <c r="T11" s="7" t="str">
        <f>IF($A11="","",SUMIFS(reg_Sales_Dispatch[BirdsDispatched],reg_Sales_Dispatch[FlockID],$A11))</f>
        <v/>
      </c>
      <c r="U11" s="3" t="str">
        <f t="shared" si="5"/>
        <v/>
      </c>
      <c r="V11" s="3" t="str">
        <f t="shared" si="6"/>
        <v/>
      </c>
      <c r="W11" s="3" t="str">
        <f t="shared" si="7"/>
        <v/>
      </c>
      <c r="X11" s="3" t="str">
        <f t="shared" si="8"/>
        <v/>
      </c>
    </row>
    <row r="12" spans="1:24" x14ac:dyDescent="0.3">
      <c r="A12" s="2" t="str">
        <f>IFERROR(INDEX(reg_Flocks[FlockID],ROW()-1),"")</f>
        <v/>
      </c>
      <c r="B12" s="2" t="str">
        <f>IF($A12="","",IFERROR(INDEX(mst_Houses[HouseCode],MATCH(INDEX(reg_Flocks[HouseID],MATCH($A12,reg_Flocks[FlockID],0)),mst_Houses[HouseID],0)),""))</f>
        <v/>
      </c>
      <c r="C12" s="2" t="str">
        <f>IF($A12="","",IFERROR(INDEX(mst_Breeds[BreedName],MATCH(INDEX(reg_Flocks[BreedID],MATCH($A12,reg_Flocks[FlockID],0)),mst_Breeds[BreedID],0)),""))</f>
        <v/>
      </c>
      <c r="D12" s="6" t="str">
        <f>IF($A12="","",INDEX(reg_Flocks[PlacedDate],MATCH($A12,reg_Flocks[FlockID],0)))</f>
        <v/>
      </c>
      <c r="E12" s="2" t="str">
        <f>IF($A12="","",INDEX(reg_Flocks[Status],MATCH($A12,reg_Flocks[FlockID],0)))</f>
        <v/>
      </c>
      <c r="F12" s="7" t="str">
        <f t="shared" ca="1" si="0"/>
        <v/>
      </c>
      <c r="G12" s="7" t="str">
        <f>IF($A12="","",INDEX(reg_Flocks[InitialBirdCount],MATCH($A12,reg_Flocks[FlockID],0)))</f>
        <v/>
      </c>
      <c r="H12" s="7" t="str">
        <f>IF($A12="","",SUMIFS(reg_DailyMortality[MortalityCount],reg_DailyMortality[FlockID],$A12))</f>
        <v/>
      </c>
      <c r="I12" s="7" t="str">
        <f t="shared" si="1"/>
        <v/>
      </c>
      <c r="J12" s="12" t="str">
        <f t="shared" si="2"/>
        <v/>
      </c>
      <c r="K12" s="7" t="str">
        <f>IF($A12="","",SUMIFS(reg_FeedConsumption[KgUsed],reg_FeedConsumption[FlockID],$A12))</f>
        <v/>
      </c>
      <c r="L12" s="3" t="str">
        <f>IF($A12="","",SUMIFS(reg_FeedConsumption[CostZMW],reg_FeedConsumption[FlockID],$A12))</f>
        <v/>
      </c>
      <c r="M12" s="6" t="str">
        <f>IF($A12="","",IFERROR(_xlfn.MAXIFS(reg_WeeklyWeights[Date],reg_WeeklyWeights[FlockID],$A12),""))</f>
        <v/>
      </c>
      <c r="N12" s="7" t="str">
        <f>IF($A12="","",IFERROR(SUMIFS(reg_WeeklyWeights[AvgBodyWeightG],reg_WeeklyWeights[FlockID],$A12,reg_WeeklyWeights[Date],$M12),0))</f>
        <v/>
      </c>
      <c r="O12" s="13" t="str">
        <f t="shared" si="3"/>
        <v/>
      </c>
      <c r="P12" s="9" t="str">
        <f t="shared" si="4"/>
        <v/>
      </c>
      <c r="Q12" s="3" t="str">
        <f>IF($A12="","",SUMIFS(reg_Expenses[Amount_ZMW],reg_Expenses[FlockID],$A12))</f>
        <v/>
      </c>
      <c r="R12" s="3" t="str">
        <f>IF($A12="","",SUMIFS(reg_MedicineStock[TotalCost_ZMW],reg_MedicineStock[FlockID],$A12))</f>
        <v/>
      </c>
      <c r="S12" s="3" t="str">
        <f>IF($A12="","",SUMIFS(reg_Sales_Dispatch[TotalValue_ZMW],reg_Sales_Dispatch[FlockID],$A12))</f>
        <v/>
      </c>
      <c r="T12" s="7" t="str">
        <f>IF($A12="","",SUMIFS(reg_Sales_Dispatch[BirdsDispatched],reg_Sales_Dispatch[FlockID],$A12))</f>
        <v/>
      </c>
      <c r="U12" s="3" t="str">
        <f t="shared" si="5"/>
        <v/>
      </c>
      <c r="V12" s="3" t="str">
        <f t="shared" si="6"/>
        <v/>
      </c>
      <c r="W12" s="3" t="str">
        <f t="shared" si="7"/>
        <v/>
      </c>
      <c r="X12" s="3" t="str">
        <f t="shared" si="8"/>
        <v/>
      </c>
    </row>
    <row r="13" spans="1:24" x14ac:dyDescent="0.3">
      <c r="A13" s="2" t="str">
        <f>IFERROR(INDEX(reg_Flocks[FlockID],ROW()-1),"")</f>
        <v/>
      </c>
      <c r="B13" s="2" t="str">
        <f>IF($A13="","",IFERROR(INDEX(mst_Houses[HouseCode],MATCH(INDEX(reg_Flocks[HouseID],MATCH($A13,reg_Flocks[FlockID],0)),mst_Houses[HouseID],0)),""))</f>
        <v/>
      </c>
      <c r="C13" s="2" t="str">
        <f>IF($A13="","",IFERROR(INDEX(mst_Breeds[BreedName],MATCH(INDEX(reg_Flocks[BreedID],MATCH($A13,reg_Flocks[FlockID],0)),mst_Breeds[BreedID],0)),""))</f>
        <v/>
      </c>
      <c r="D13" s="6" t="str">
        <f>IF($A13="","",INDEX(reg_Flocks[PlacedDate],MATCH($A13,reg_Flocks[FlockID],0)))</f>
        <v/>
      </c>
      <c r="E13" s="2" t="str">
        <f>IF($A13="","",INDEX(reg_Flocks[Status],MATCH($A13,reg_Flocks[FlockID],0)))</f>
        <v/>
      </c>
      <c r="F13" s="7" t="str">
        <f t="shared" ca="1" si="0"/>
        <v/>
      </c>
      <c r="G13" s="7" t="str">
        <f>IF($A13="","",INDEX(reg_Flocks[InitialBirdCount],MATCH($A13,reg_Flocks[FlockID],0)))</f>
        <v/>
      </c>
      <c r="H13" s="7" t="str">
        <f>IF($A13="","",SUMIFS(reg_DailyMortality[MortalityCount],reg_DailyMortality[FlockID],$A13))</f>
        <v/>
      </c>
      <c r="I13" s="7" t="str">
        <f t="shared" si="1"/>
        <v/>
      </c>
      <c r="J13" s="12" t="str">
        <f t="shared" si="2"/>
        <v/>
      </c>
      <c r="K13" s="7" t="str">
        <f>IF($A13="","",SUMIFS(reg_FeedConsumption[KgUsed],reg_FeedConsumption[FlockID],$A13))</f>
        <v/>
      </c>
      <c r="L13" s="3" t="str">
        <f>IF($A13="","",SUMIFS(reg_FeedConsumption[CostZMW],reg_FeedConsumption[FlockID],$A13))</f>
        <v/>
      </c>
      <c r="M13" s="6" t="str">
        <f>IF($A13="","",IFERROR(_xlfn.MAXIFS(reg_WeeklyWeights[Date],reg_WeeklyWeights[FlockID],$A13),""))</f>
        <v/>
      </c>
      <c r="N13" s="7" t="str">
        <f>IF($A13="","",IFERROR(SUMIFS(reg_WeeklyWeights[AvgBodyWeightG],reg_WeeklyWeights[FlockID],$A13,reg_WeeklyWeights[Date],$M13),0))</f>
        <v/>
      </c>
      <c r="O13" s="13" t="str">
        <f t="shared" si="3"/>
        <v/>
      </c>
      <c r="P13" s="9" t="str">
        <f t="shared" si="4"/>
        <v/>
      </c>
      <c r="Q13" s="3" t="str">
        <f>IF($A13="","",SUMIFS(reg_Expenses[Amount_ZMW],reg_Expenses[FlockID],$A13))</f>
        <v/>
      </c>
      <c r="R13" s="3" t="str">
        <f>IF($A13="","",SUMIFS(reg_MedicineStock[TotalCost_ZMW],reg_MedicineStock[FlockID],$A13))</f>
        <v/>
      </c>
      <c r="S13" s="3" t="str">
        <f>IF($A13="","",SUMIFS(reg_Sales_Dispatch[TotalValue_ZMW],reg_Sales_Dispatch[FlockID],$A13))</f>
        <v/>
      </c>
      <c r="T13" s="7" t="str">
        <f>IF($A13="","",SUMIFS(reg_Sales_Dispatch[BirdsDispatched],reg_Sales_Dispatch[FlockID],$A13))</f>
        <v/>
      </c>
      <c r="U13" s="3" t="str">
        <f t="shared" si="5"/>
        <v/>
      </c>
      <c r="V13" s="3" t="str">
        <f t="shared" si="6"/>
        <v/>
      </c>
      <c r="W13" s="3" t="str">
        <f t="shared" si="7"/>
        <v/>
      </c>
      <c r="X13" s="3" t="str">
        <f t="shared" si="8"/>
        <v/>
      </c>
    </row>
    <row r="14" spans="1:24" x14ac:dyDescent="0.3">
      <c r="A14" s="2" t="str">
        <f>IFERROR(INDEX(reg_Flocks[FlockID],ROW()-1),"")</f>
        <v/>
      </c>
      <c r="B14" s="2" t="str">
        <f>IF($A14="","",IFERROR(INDEX(mst_Houses[HouseCode],MATCH(INDEX(reg_Flocks[HouseID],MATCH($A14,reg_Flocks[FlockID],0)),mst_Houses[HouseID],0)),""))</f>
        <v/>
      </c>
      <c r="C14" s="2" t="str">
        <f>IF($A14="","",IFERROR(INDEX(mst_Breeds[BreedName],MATCH(INDEX(reg_Flocks[BreedID],MATCH($A14,reg_Flocks[FlockID],0)),mst_Breeds[BreedID],0)),""))</f>
        <v/>
      </c>
      <c r="D14" s="6" t="str">
        <f>IF($A14="","",INDEX(reg_Flocks[PlacedDate],MATCH($A14,reg_Flocks[FlockID],0)))</f>
        <v/>
      </c>
      <c r="E14" s="2" t="str">
        <f>IF($A14="","",INDEX(reg_Flocks[Status],MATCH($A14,reg_Flocks[FlockID],0)))</f>
        <v/>
      </c>
      <c r="F14" s="7" t="str">
        <f t="shared" ca="1" si="0"/>
        <v/>
      </c>
      <c r="G14" s="7" t="str">
        <f>IF($A14="","",INDEX(reg_Flocks[InitialBirdCount],MATCH($A14,reg_Flocks[FlockID],0)))</f>
        <v/>
      </c>
      <c r="H14" s="7" t="str">
        <f>IF($A14="","",SUMIFS(reg_DailyMortality[MortalityCount],reg_DailyMortality[FlockID],$A14))</f>
        <v/>
      </c>
      <c r="I14" s="7" t="str">
        <f t="shared" si="1"/>
        <v/>
      </c>
      <c r="J14" s="12" t="str">
        <f t="shared" si="2"/>
        <v/>
      </c>
      <c r="K14" s="7" t="str">
        <f>IF($A14="","",SUMIFS(reg_FeedConsumption[KgUsed],reg_FeedConsumption[FlockID],$A14))</f>
        <v/>
      </c>
      <c r="L14" s="3" t="str">
        <f>IF($A14="","",SUMIFS(reg_FeedConsumption[CostZMW],reg_FeedConsumption[FlockID],$A14))</f>
        <v/>
      </c>
      <c r="M14" s="6" t="str">
        <f>IF($A14="","",IFERROR(_xlfn.MAXIFS(reg_WeeklyWeights[Date],reg_WeeklyWeights[FlockID],$A14),""))</f>
        <v/>
      </c>
      <c r="N14" s="7" t="str">
        <f>IF($A14="","",IFERROR(SUMIFS(reg_WeeklyWeights[AvgBodyWeightG],reg_WeeklyWeights[FlockID],$A14,reg_WeeklyWeights[Date],$M14),0))</f>
        <v/>
      </c>
      <c r="O14" s="13" t="str">
        <f t="shared" si="3"/>
        <v/>
      </c>
      <c r="P14" s="9" t="str">
        <f t="shared" si="4"/>
        <v/>
      </c>
      <c r="Q14" s="3" t="str">
        <f>IF($A14="","",SUMIFS(reg_Expenses[Amount_ZMW],reg_Expenses[FlockID],$A14))</f>
        <v/>
      </c>
      <c r="R14" s="3" t="str">
        <f>IF($A14="","",SUMIFS(reg_MedicineStock[TotalCost_ZMW],reg_MedicineStock[FlockID],$A14))</f>
        <v/>
      </c>
      <c r="S14" s="3" t="str">
        <f>IF($A14="","",SUMIFS(reg_Sales_Dispatch[TotalValue_ZMW],reg_Sales_Dispatch[FlockID],$A14))</f>
        <v/>
      </c>
      <c r="T14" s="7" t="str">
        <f>IF($A14="","",SUMIFS(reg_Sales_Dispatch[BirdsDispatched],reg_Sales_Dispatch[FlockID],$A14))</f>
        <v/>
      </c>
      <c r="U14" s="3" t="str">
        <f t="shared" si="5"/>
        <v/>
      </c>
      <c r="V14" s="3" t="str">
        <f t="shared" si="6"/>
        <v/>
      </c>
      <c r="W14" s="3" t="str">
        <f t="shared" si="7"/>
        <v/>
      </c>
      <c r="X14" s="3" t="str">
        <f t="shared" si="8"/>
        <v/>
      </c>
    </row>
    <row r="15" spans="1:24" x14ac:dyDescent="0.3">
      <c r="A15" s="2" t="str">
        <f>IFERROR(INDEX(reg_Flocks[FlockID],ROW()-1),"")</f>
        <v/>
      </c>
      <c r="B15" s="2" t="str">
        <f>IF($A15="","",IFERROR(INDEX(mst_Houses[HouseCode],MATCH(INDEX(reg_Flocks[HouseID],MATCH($A15,reg_Flocks[FlockID],0)),mst_Houses[HouseID],0)),""))</f>
        <v/>
      </c>
      <c r="C15" s="2" t="str">
        <f>IF($A15="","",IFERROR(INDEX(mst_Breeds[BreedName],MATCH(INDEX(reg_Flocks[BreedID],MATCH($A15,reg_Flocks[FlockID],0)),mst_Breeds[BreedID],0)),""))</f>
        <v/>
      </c>
      <c r="D15" s="6" t="str">
        <f>IF($A15="","",INDEX(reg_Flocks[PlacedDate],MATCH($A15,reg_Flocks[FlockID],0)))</f>
        <v/>
      </c>
      <c r="E15" s="2" t="str">
        <f>IF($A15="","",INDEX(reg_Flocks[Status],MATCH($A15,reg_Flocks[FlockID],0)))</f>
        <v/>
      </c>
      <c r="F15" s="7" t="str">
        <f t="shared" ca="1" si="0"/>
        <v/>
      </c>
      <c r="G15" s="7" t="str">
        <f>IF($A15="","",INDEX(reg_Flocks[InitialBirdCount],MATCH($A15,reg_Flocks[FlockID],0)))</f>
        <v/>
      </c>
      <c r="H15" s="7" t="str">
        <f>IF($A15="","",SUMIFS(reg_DailyMortality[MortalityCount],reg_DailyMortality[FlockID],$A15))</f>
        <v/>
      </c>
      <c r="I15" s="7" t="str">
        <f t="shared" si="1"/>
        <v/>
      </c>
      <c r="J15" s="12" t="str">
        <f t="shared" si="2"/>
        <v/>
      </c>
      <c r="K15" s="7" t="str">
        <f>IF($A15="","",SUMIFS(reg_FeedConsumption[KgUsed],reg_FeedConsumption[FlockID],$A15))</f>
        <v/>
      </c>
      <c r="L15" s="3" t="str">
        <f>IF($A15="","",SUMIFS(reg_FeedConsumption[CostZMW],reg_FeedConsumption[FlockID],$A15))</f>
        <v/>
      </c>
      <c r="M15" s="6" t="str">
        <f>IF($A15="","",IFERROR(_xlfn.MAXIFS(reg_WeeklyWeights[Date],reg_WeeklyWeights[FlockID],$A15),""))</f>
        <v/>
      </c>
      <c r="N15" s="7" t="str">
        <f>IF($A15="","",IFERROR(SUMIFS(reg_WeeklyWeights[AvgBodyWeightG],reg_WeeklyWeights[FlockID],$A15,reg_WeeklyWeights[Date],$M15),0))</f>
        <v/>
      </c>
      <c r="O15" s="13" t="str">
        <f t="shared" si="3"/>
        <v/>
      </c>
      <c r="P15" s="9" t="str">
        <f t="shared" si="4"/>
        <v/>
      </c>
      <c r="Q15" s="3" t="str">
        <f>IF($A15="","",SUMIFS(reg_Expenses[Amount_ZMW],reg_Expenses[FlockID],$A15))</f>
        <v/>
      </c>
      <c r="R15" s="3" t="str">
        <f>IF($A15="","",SUMIFS(reg_MedicineStock[TotalCost_ZMW],reg_MedicineStock[FlockID],$A15))</f>
        <v/>
      </c>
      <c r="S15" s="3" t="str">
        <f>IF($A15="","",SUMIFS(reg_Sales_Dispatch[TotalValue_ZMW],reg_Sales_Dispatch[FlockID],$A15))</f>
        <v/>
      </c>
      <c r="T15" s="7" t="str">
        <f>IF($A15="","",SUMIFS(reg_Sales_Dispatch[BirdsDispatched],reg_Sales_Dispatch[FlockID],$A15))</f>
        <v/>
      </c>
      <c r="U15" s="3" t="str">
        <f t="shared" si="5"/>
        <v/>
      </c>
      <c r="V15" s="3" t="str">
        <f t="shared" si="6"/>
        <v/>
      </c>
      <c r="W15" s="3" t="str">
        <f t="shared" si="7"/>
        <v/>
      </c>
      <c r="X15" s="3" t="str">
        <f t="shared" si="8"/>
        <v/>
      </c>
    </row>
    <row r="16" spans="1:24" x14ac:dyDescent="0.3">
      <c r="A16" s="2" t="str">
        <f>IFERROR(INDEX(reg_Flocks[FlockID],ROW()-1),"")</f>
        <v/>
      </c>
      <c r="B16" s="2" t="str">
        <f>IF($A16="","",IFERROR(INDEX(mst_Houses[HouseCode],MATCH(INDEX(reg_Flocks[HouseID],MATCH($A16,reg_Flocks[FlockID],0)),mst_Houses[HouseID],0)),""))</f>
        <v/>
      </c>
      <c r="C16" s="2" t="str">
        <f>IF($A16="","",IFERROR(INDEX(mst_Breeds[BreedName],MATCH(INDEX(reg_Flocks[BreedID],MATCH($A16,reg_Flocks[FlockID],0)),mst_Breeds[BreedID],0)),""))</f>
        <v/>
      </c>
      <c r="D16" s="6" t="str">
        <f>IF($A16="","",INDEX(reg_Flocks[PlacedDate],MATCH($A16,reg_Flocks[FlockID],0)))</f>
        <v/>
      </c>
      <c r="E16" s="2" t="str">
        <f>IF($A16="","",INDEX(reg_Flocks[Status],MATCH($A16,reg_Flocks[FlockID],0)))</f>
        <v/>
      </c>
      <c r="F16" s="7" t="str">
        <f t="shared" ca="1" si="0"/>
        <v/>
      </c>
      <c r="G16" s="7" t="str">
        <f>IF($A16="","",INDEX(reg_Flocks[InitialBirdCount],MATCH($A16,reg_Flocks[FlockID],0)))</f>
        <v/>
      </c>
      <c r="H16" s="7" t="str">
        <f>IF($A16="","",SUMIFS(reg_DailyMortality[MortalityCount],reg_DailyMortality[FlockID],$A16))</f>
        <v/>
      </c>
      <c r="I16" s="7" t="str">
        <f t="shared" si="1"/>
        <v/>
      </c>
      <c r="J16" s="12" t="str">
        <f t="shared" si="2"/>
        <v/>
      </c>
      <c r="K16" s="7" t="str">
        <f>IF($A16="","",SUMIFS(reg_FeedConsumption[KgUsed],reg_FeedConsumption[FlockID],$A16))</f>
        <v/>
      </c>
      <c r="L16" s="3" t="str">
        <f>IF($A16="","",SUMIFS(reg_FeedConsumption[CostZMW],reg_FeedConsumption[FlockID],$A16))</f>
        <v/>
      </c>
      <c r="M16" s="6" t="str">
        <f>IF($A16="","",IFERROR(_xlfn.MAXIFS(reg_WeeklyWeights[Date],reg_WeeklyWeights[FlockID],$A16),""))</f>
        <v/>
      </c>
      <c r="N16" s="7" t="str">
        <f>IF($A16="","",IFERROR(SUMIFS(reg_WeeklyWeights[AvgBodyWeightG],reg_WeeklyWeights[FlockID],$A16,reg_WeeklyWeights[Date],$M16),0))</f>
        <v/>
      </c>
      <c r="O16" s="13" t="str">
        <f t="shared" si="3"/>
        <v/>
      </c>
      <c r="P16" s="9" t="str">
        <f t="shared" si="4"/>
        <v/>
      </c>
      <c r="Q16" s="3" t="str">
        <f>IF($A16="","",SUMIFS(reg_Expenses[Amount_ZMW],reg_Expenses[FlockID],$A16))</f>
        <v/>
      </c>
      <c r="R16" s="3" t="str">
        <f>IF($A16="","",SUMIFS(reg_MedicineStock[TotalCost_ZMW],reg_MedicineStock[FlockID],$A16))</f>
        <v/>
      </c>
      <c r="S16" s="3" t="str">
        <f>IF($A16="","",SUMIFS(reg_Sales_Dispatch[TotalValue_ZMW],reg_Sales_Dispatch[FlockID],$A16))</f>
        <v/>
      </c>
      <c r="T16" s="7" t="str">
        <f>IF($A16="","",SUMIFS(reg_Sales_Dispatch[BirdsDispatched],reg_Sales_Dispatch[FlockID],$A16))</f>
        <v/>
      </c>
      <c r="U16" s="3" t="str">
        <f t="shared" si="5"/>
        <v/>
      </c>
      <c r="V16" s="3" t="str">
        <f t="shared" si="6"/>
        <v/>
      </c>
      <c r="W16" s="3" t="str">
        <f t="shared" si="7"/>
        <v/>
      </c>
      <c r="X16" s="3" t="str">
        <f t="shared" si="8"/>
        <v/>
      </c>
    </row>
    <row r="17" spans="1:24" x14ac:dyDescent="0.3">
      <c r="A17" s="2" t="str">
        <f>IFERROR(INDEX(reg_Flocks[FlockID],ROW()-1),"")</f>
        <v/>
      </c>
      <c r="B17" s="2" t="str">
        <f>IF($A17="","",IFERROR(INDEX(mst_Houses[HouseCode],MATCH(INDEX(reg_Flocks[HouseID],MATCH($A17,reg_Flocks[FlockID],0)),mst_Houses[HouseID],0)),""))</f>
        <v/>
      </c>
      <c r="C17" s="2" t="str">
        <f>IF($A17="","",IFERROR(INDEX(mst_Breeds[BreedName],MATCH(INDEX(reg_Flocks[BreedID],MATCH($A17,reg_Flocks[FlockID],0)),mst_Breeds[BreedID],0)),""))</f>
        <v/>
      </c>
      <c r="D17" s="6" t="str">
        <f>IF($A17="","",INDEX(reg_Flocks[PlacedDate],MATCH($A17,reg_Flocks[FlockID],0)))</f>
        <v/>
      </c>
      <c r="E17" s="2" t="str">
        <f>IF($A17="","",INDEX(reg_Flocks[Status],MATCH($A17,reg_Flocks[FlockID],0)))</f>
        <v/>
      </c>
      <c r="F17" s="7" t="str">
        <f t="shared" ca="1" si="0"/>
        <v/>
      </c>
      <c r="G17" s="7" t="str">
        <f>IF($A17="","",INDEX(reg_Flocks[InitialBirdCount],MATCH($A17,reg_Flocks[FlockID],0)))</f>
        <v/>
      </c>
      <c r="H17" s="7" t="str">
        <f>IF($A17="","",SUMIFS(reg_DailyMortality[MortalityCount],reg_DailyMortality[FlockID],$A17))</f>
        <v/>
      </c>
      <c r="I17" s="7" t="str">
        <f t="shared" si="1"/>
        <v/>
      </c>
      <c r="J17" s="12" t="str">
        <f t="shared" si="2"/>
        <v/>
      </c>
      <c r="K17" s="7" t="str">
        <f>IF($A17="","",SUMIFS(reg_FeedConsumption[KgUsed],reg_FeedConsumption[FlockID],$A17))</f>
        <v/>
      </c>
      <c r="L17" s="3" t="str">
        <f>IF($A17="","",SUMIFS(reg_FeedConsumption[CostZMW],reg_FeedConsumption[FlockID],$A17))</f>
        <v/>
      </c>
      <c r="M17" s="6" t="str">
        <f>IF($A17="","",IFERROR(_xlfn.MAXIFS(reg_WeeklyWeights[Date],reg_WeeklyWeights[FlockID],$A17),""))</f>
        <v/>
      </c>
      <c r="N17" s="7" t="str">
        <f>IF($A17="","",IFERROR(SUMIFS(reg_WeeklyWeights[AvgBodyWeightG],reg_WeeklyWeights[FlockID],$A17,reg_WeeklyWeights[Date],$M17),0))</f>
        <v/>
      </c>
      <c r="O17" s="13" t="str">
        <f t="shared" si="3"/>
        <v/>
      </c>
      <c r="P17" s="9" t="str">
        <f t="shared" si="4"/>
        <v/>
      </c>
      <c r="Q17" s="3" t="str">
        <f>IF($A17="","",SUMIFS(reg_Expenses[Amount_ZMW],reg_Expenses[FlockID],$A17))</f>
        <v/>
      </c>
      <c r="R17" s="3" t="str">
        <f>IF($A17="","",SUMIFS(reg_MedicineStock[TotalCost_ZMW],reg_MedicineStock[FlockID],$A17))</f>
        <v/>
      </c>
      <c r="S17" s="3" t="str">
        <f>IF($A17="","",SUMIFS(reg_Sales_Dispatch[TotalValue_ZMW],reg_Sales_Dispatch[FlockID],$A17))</f>
        <v/>
      </c>
      <c r="T17" s="7" t="str">
        <f>IF($A17="","",SUMIFS(reg_Sales_Dispatch[BirdsDispatched],reg_Sales_Dispatch[FlockID],$A17))</f>
        <v/>
      </c>
      <c r="U17" s="3" t="str">
        <f t="shared" si="5"/>
        <v/>
      </c>
      <c r="V17" s="3" t="str">
        <f t="shared" si="6"/>
        <v/>
      </c>
      <c r="W17" s="3" t="str">
        <f t="shared" si="7"/>
        <v/>
      </c>
      <c r="X17" s="3" t="str">
        <f t="shared" si="8"/>
        <v/>
      </c>
    </row>
    <row r="18" spans="1:24" x14ac:dyDescent="0.3">
      <c r="A18" s="2" t="str">
        <f>IFERROR(INDEX(reg_Flocks[FlockID],ROW()-1),"")</f>
        <v/>
      </c>
      <c r="B18" s="2" t="str">
        <f>IF($A18="","",IFERROR(INDEX(mst_Houses[HouseCode],MATCH(INDEX(reg_Flocks[HouseID],MATCH($A18,reg_Flocks[FlockID],0)),mst_Houses[HouseID],0)),""))</f>
        <v/>
      </c>
      <c r="C18" s="2" t="str">
        <f>IF($A18="","",IFERROR(INDEX(mst_Breeds[BreedName],MATCH(INDEX(reg_Flocks[BreedID],MATCH($A18,reg_Flocks[FlockID],0)),mst_Breeds[BreedID],0)),""))</f>
        <v/>
      </c>
      <c r="D18" s="6" t="str">
        <f>IF($A18="","",INDEX(reg_Flocks[PlacedDate],MATCH($A18,reg_Flocks[FlockID],0)))</f>
        <v/>
      </c>
      <c r="E18" s="2" t="str">
        <f>IF($A18="","",INDEX(reg_Flocks[Status],MATCH($A18,reg_Flocks[FlockID],0)))</f>
        <v/>
      </c>
      <c r="F18" s="7" t="str">
        <f t="shared" ca="1" si="0"/>
        <v/>
      </c>
      <c r="G18" s="7" t="str">
        <f>IF($A18="","",INDEX(reg_Flocks[InitialBirdCount],MATCH($A18,reg_Flocks[FlockID],0)))</f>
        <v/>
      </c>
      <c r="H18" s="7" t="str">
        <f>IF($A18="","",SUMIFS(reg_DailyMortality[MortalityCount],reg_DailyMortality[FlockID],$A18))</f>
        <v/>
      </c>
      <c r="I18" s="7" t="str">
        <f t="shared" si="1"/>
        <v/>
      </c>
      <c r="J18" s="12" t="str">
        <f t="shared" si="2"/>
        <v/>
      </c>
      <c r="K18" s="7" t="str">
        <f>IF($A18="","",SUMIFS(reg_FeedConsumption[KgUsed],reg_FeedConsumption[FlockID],$A18))</f>
        <v/>
      </c>
      <c r="L18" s="3" t="str">
        <f>IF($A18="","",SUMIFS(reg_FeedConsumption[CostZMW],reg_FeedConsumption[FlockID],$A18))</f>
        <v/>
      </c>
      <c r="M18" s="6" t="str">
        <f>IF($A18="","",IFERROR(_xlfn.MAXIFS(reg_WeeklyWeights[Date],reg_WeeklyWeights[FlockID],$A18),""))</f>
        <v/>
      </c>
      <c r="N18" s="7" t="str">
        <f>IF($A18="","",IFERROR(SUMIFS(reg_WeeklyWeights[AvgBodyWeightG],reg_WeeklyWeights[FlockID],$A18,reg_WeeklyWeights[Date],$M18),0))</f>
        <v/>
      </c>
      <c r="O18" s="13" t="str">
        <f t="shared" si="3"/>
        <v/>
      </c>
      <c r="P18" s="9" t="str">
        <f t="shared" si="4"/>
        <v/>
      </c>
      <c r="Q18" s="3" t="str">
        <f>IF($A18="","",SUMIFS(reg_Expenses[Amount_ZMW],reg_Expenses[FlockID],$A18))</f>
        <v/>
      </c>
      <c r="R18" s="3" t="str">
        <f>IF($A18="","",SUMIFS(reg_MedicineStock[TotalCost_ZMW],reg_MedicineStock[FlockID],$A18))</f>
        <v/>
      </c>
      <c r="S18" s="3" t="str">
        <f>IF($A18="","",SUMIFS(reg_Sales_Dispatch[TotalValue_ZMW],reg_Sales_Dispatch[FlockID],$A18))</f>
        <v/>
      </c>
      <c r="T18" s="7" t="str">
        <f>IF($A18="","",SUMIFS(reg_Sales_Dispatch[BirdsDispatched],reg_Sales_Dispatch[FlockID],$A18))</f>
        <v/>
      </c>
      <c r="U18" s="3" t="str">
        <f t="shared" si="5"/>
        <v/>
      </c>
      <c r="V18" s="3" t="str">
        <f t="shared" si="6"/>
        <v/>
      </c>
      <c r="W18" s="3" t="str">
        <f t="shared" si="7"/>
        <v/>
      </c>
      <c r="X18" s="3" t="str">
        <f t="shared" si="8"/>
        <v/>
      </c>
    </row>
    <row r="19" spans="1:24" x14ac:dyDescent="0.3">
      <c r="A19" s="2" t="str">
        <f>IFERROR(INDEX(reg_Flocks[FlockID],ROW()-1),"")</f>
        <v/>
      </c>
      <c r="B19" s="2" t="str">
        <f>IF($A19="","",IFERROR(INDEX(mst_Houses[HouseCode],MATCH(INDEX(reg_Flocks[HouseID],MATCH($A19,reg_Flocks[FlockID],0)),mst_Houses[HouseID],0)),""))</f>
        <v/>
      </c>
      <c r="C19" s="2" t="str">
        <f>IF($A19="","",IFERROR(INDEX(mst_Breeds[BreedName],MATCH(INDEX(reg_Flocks[BreedID],MATCH($A19,reg_Flocks[FlockID],0)),mst_Breeds[BreedID],0)),""))</f>
        <v/>
      </c>
      <c r="D19" s="6" t="str">
        <f>IF($A19="","",INDEX(reg_Flocks[PlacedDate],MATCH($A19,reg_Flocks[FlockID],0)))</f>
        <v/>
      </c>
      <c r="E19" s="2" t="str">
        <f>IF($A19="","",INDEX(reg_Flocks[Status],MATCH($A19,reg_Flocks[FlockID],0)))</f>
        <v/>
      </c>
      <c r="F19" s="7" t="str">
        <f t="shared" ca="1" si="0"/>
        <v/>
      </c>
      <c r="G19" s="7" t="str">
        <f>IF($A19="","",INDEX(reg_Flocks[InitialBirdCount],MATCH($A19,reg_Flocks[FlockID],0)))</f>
        <v/>
      </c>
      <c r="H19" s="7" t="str">
        <f>IF($A19="","",SUMIFS(reg_DailyMortality[MortalityCount],reg_DailyMortality[FlockID],$A19))</f>
        <v/>
      </c>
      <c r="I19" s="7" t="str">
        <f t="shared" si="1"/>
        <v/>
      </c>
      <c r="J19" s="12" t="str">
        <f t="shared" si="2"/>
        <v/>
      </c>
      <c r="K19" s="7" t="str">
        <f>IF($A19="","",SUMIFS(reg_FeedConsumption[KgUsed],reg_FeedConsumption[FlockID],$A19))</f>
        <v/>
      </c>
      <c r="L19" s="3" t="str">
        <f>IF($A19="","",SUMIFS(reg_FeedConsumption[CostZMW],reg_FeedConsumption[FlockID],$A19))</f>
        <v/>
      </c>
      <c r="M19" s="6" t="str">
        <f>IF($A19="","",IFERROR(_xlfn.MAXIFS(reg_WeeklyWeights[Date],reg_WeeklyWeights[FlockID],$A19),""))</f>
        <v/>
      </c>
      <c r="N19" s="7" t="str">
        <f>IF($A19="","",IFERROR(SUMIFS(reg_WeeklyWeights[AvgBodyWeightG],reg_WeeklyWeights[FlockID],$A19,reg_WeeklyWeights[Date],$M19),0))</f>
        <v/>
      </c>
      <c r="O19" s="13" t="str">
        <f t="shared" si="3"/>
        <v/>
      </c>
      <c r="P19" s="9" t="str">
        <f t="shared" si="4"/>
        <v/>
      </c>
      <c r="Q19" s="3" t="str">
        <f>IF($A19="","",SUMIFS(reg_Expenses[Amount_ZMW],reg_Expenses[FlockID],$A19))</f>
        <v/>
      </c>
      <c r="R19" s="3" t="str">
        <f>IF($A19="","",SUMIFS(reg_MedicineStock[TotalCost_ZMW],reg_MedicineStock[FlockID],$A19))</f>
        <v/>
      </c>
      <c r="S19" s="3" t="str">
        <f>IF($A19="","",SUMIFS(reg_Sales_Dispatch[TotalValue_ZMW],reg_Sales_Dispatch[FlockID],$A19))</f>
        <v/>
      </c>
      <c r="T19" s="7" t="str">
        <f>IF($A19="","",SUMIFS(reg_Sales_Dispatch[BirdsDispatched],reg_Sales_Dispatch[FlockID],$A19))</f>
        <v/>
      </c>
      <c r="U19" s="3" t="str">
        <f t="shared" si="5"/>
        <v/>
      </c>
      <c r="V19" s="3" t="str">
        <f t="shared" si="6"/>
        <v/>
      </c>
      <c r="W19" s="3" t="str">
        <f t="shared" si="7"/>
        <v/>
      </c>
      <c r="X19" s="3" t="str">
        <f t="shared" si="8"/>
        <v/>
      </c>
    </row>
    <row r="20" spans="1:24" x14ac:dyDescent="0.3">
      <c r="A20" s="2" t="str">
        <f>IFERROR(INDEX(reg_Flocks[FlockID],ROW()-1),"")</f>
        <v/>
      </c>
      <c r="B20" s="2" t="str">
        <f>IF($A20="","",IFERROR(INDEX(mst_Houses[HouseCode],MATCH(INDEX(reg_Flocks[HouseID],MATCH($A20,reg_Flocks[FlockID],0)),mst_Houses[HouseID],0)),""))</f>
        <v/>
      </c>
      <c r="C20" s="2" t="str">
        <f>IF($A20="","",IFERROR(INDEX(mst_Breeds[BreedName],MATCH(INDEX(reg_Flocks[BreedID],MATCH($A20,reg_Flocks[FlockID],0)),mst_Breeds[BreedID],0)),""))</f>
        <v/>
      </c>
      <c r="D20" s="6" t="str">
        <f>IF($A20="","",INDEX(reg_Flocks[PlacedDate],MATCH($A20,reg_Flocks[FlockID],0)))</f>
        <v/>
      </c>
      <c r="E20" s="2" t="str">
        <f>IF($A20="","",INDEX(reg_Flocks[Status],MATCH($A20,reg_Flocks[FlockID],0)))</f>
        <v/>
      </c>
      <c r="F20" s="7" t="str">
        <f t="shared" ca="1" si="0"/>
        <v/>
      </c>
      <c r="G20" s="7" t="str">
        <f>IF($A20="","",INDEX(reg_Flocks[InitialBirdCount],MATCH($A20,reg_Flocks[FlockID],0)))</f>
        <v/>
      </c>
      <c r="H20" s="7" t="str">
        <f>IF($A20="","",SUMIFS(reg_DailyMortality[MortalityCount],reg_DailyMortality[FlockID],$A20))</f>
        <v/>
      </c>
      <c r="I20" s="7" t="str">
        <f t="shared" si="1"/>
        <v/>
      </c>
      <c r="J20" s="12" t="str">
        <f t="shared" si="2"/>
        <v/>
      </c>
      <c r="K20" s="7" t="str">
        <f>IF($A20="","",SUMIFS(reg_FeedConsumption[KgUsed],reg_FeedConsumption[FlockID],$A20))</f>
        <v/>
      </c>
      <c r="L20" s="3" t="str">
        <f>IF($A20="","",SUMIFS(reg_FeedConsumption[CostZMW],reg_FeedConsumption[FlockID],$A20))</f>
        <v/>
      </c>
      <c r="M20" s="6" t="str">
        <f>IF($A20="","",IFERROR(_xlfn.MAXIFS(reg_WeeklyWeights[Date],reg_WeeklyWeights[FlockID],$A20),""))</f>
        <v/>
      </c>
      <c r="N20" s="7" t="str">
        <f>IF($A20="","",IFERROR(SUMIFS(reg_WeeklyWeights[AvgBodyWeightG],reg_WeeklyWeights[FlockID],$A20,reg_WeeklyWeights[Date],$M20),0))</f>
        <v/>
      </c>
      <c r="O20" s="13" t="str">
        <f t="shared" si="3"/>
        <v/>
      </c>
      <c r="P20" s="9" t="str">
        <f t="shared" si="4"/>
        <v/>
      </c>
      <c r="Q20" s="3" t="str">
        <f>IF($A20="","",SUMIFS(reg_Expenses[Amount_ZMW],reg_Expenses[FlockID],$A20))</f>
        <v/>
      </c>
      <c r="R20" s="3" t="str">
        <f>IF($A20="","",SUMIFS(reg_MedicineStock[TotalCost_ZMW],reg_MedicineStock[FlockID],$A20))</f>
        <v/>
      </c>
      <c r="S20" s="3" t="str">
        <f>IF($A20="","",SUMIFS(reg_Sales_Dispatch[TotalValue_ZMW],reg_Sales_Dispatch[FlockID],$A20))</f>
        <v/>
      </c>
      <c r="T20" s="7" t="str">
        <f>IF($A20="","",SUMIFS(reg_Sales_Dispatch[BirdsDispatched],reg_Sales_Dispatch[FlockID],$A20))</f>
        <v/>
      </c>
      <c r="U20" s="3" t="str">
        <f t="shared" si="5"/>
        <v/>
      </c>
      <c r="V20" s="3" t="str">
        <f t="shared" si="6"/>
        <v/>
      </c>
      <c r="W20" s="3" t="str">
        <f t="shared" si="7"/>
        <v/>
      </c>
      <c r="X20" s="3" t="str">
        <f t="shared" si="8"/>
        <v/>
      </c>
    </row>
    <row r="21" spans="1:24" x14ac:dyDescent="0.3">
      <c r="A21" s="2" t="str">
        <f>IFERROR(INDEX(reg_Flocks[FlockID],ROW()-1),"")</f>
        <v/>
      </c>
      <c r="B21" s="2" t="str">
        <f>IF($A21="","",IFERROR(INDEX(mst_Houses[HouseCode],MATCH(INDEX(reg_Flocks[HouseID],MATCH($A21,reg_Flocks[FlockID],0)),mst_Houses[HouseID],0)),""))</f>
        <v/>
      </c>
      <c r="C21" s="2" t="str">
        <f>IF($A21="","",IFERROR(INDEX(mst_Breeds[BreedName],MATCH(INDEX(reg_Flocks[BreedID],MATCH($A21,reg_Flocks[FlockID],0)),mst_Breeds[BreedID],0)),""))</f>
        <v/>
      </c>
      <c r="D21" s="6" t="str">
        <f>IF($A21="","",INDEX(reg_Flocks[PlacedDate],MATCH($A21,reg_Flocks[FlockID],0)))</f>
        <v/>
      </c>
      <c r="E21" s="2" t="str">
        <f>IF($A21="","",INDEX(reg_Flocks[Status],MATCH($A21,reg_Flocks[FlockID],0)))</f>
        <v/>
      </c>
      <c r="F21" s="7" t="str">
        <f t="shared" ca="1" si="0"/>
        <v/>
      </c>
      <c r="G21" s="7" t="str">
        <f>IF($A21="","",INDEX(reg_Flocks[InitialBirdCount],MATCH($A21,reg_Flocks[FlockID],0)))</f>
        <v/>
      </c>
      <c r="H21" s="7" t="str">
        <f>IF($A21="","",SUMIFS(reg_DailyMortality[MortalityCount],reg_DailyMortality[FlockID],$A21))</f>
        <v/>
      </c>
      <c r="I21" s="7" t="str">
        <f t="shared" si="1"/>
        <v/>
      </c>
      <c r="J21" s="12" t="str">
        <f t="shared" si="2"/>
        <v/>
      </c>
      <c r="K21" s="7" t="str">
        <f>IF($A21="","",SUMIFS(reg_FeedConsumption[KgUsed],reg_FeedConsumption[FlockID],$A21))</f>
        <v/>
      </c>
      <c r="L21" s="3" t="str">
        <f>IF($A21="","",SUMIFS(reg_FeedConsumption[CostZMW],reg_FeedConsumption[FlockID],$A21))</f>
        <v/>
      </c>
      <c r="M21" s="6" t="str">
        <f>IF($A21="","",IFERROR(_xlfn.MAXIFS(reg_WeeklyWeights[Date],reg_WeeklyWeights[FlockID],$A21),""))</f>
        <v/>
      </c>
      <c r="N21" s="7" t="str">
        <f>IF($A21="","",IFERROR(SUMIFS(reg_WeeklyWeights[AvgBodyWeightG],reg_WeeklyWeights[FlockID],$A21,reg_WeeklyWeights[Date],$M21),0))</f>
        <v/>
      </c>
      <c r="O21" s="13" t="str">
        <f t="shared" si="3"/>
        <v/>
      </c>
      <c r="P21" s="9" t="str">
        <f t="shared" si="4"/>
        <v/>
      </c>
      <c r="Q21" s="3" t="str">
        <f>IF($A21="","",SUMIFS(reg_Expenses[Amount_ZMW],reg_Expenses[FlockID],$A21))</f>
        <v/>
      </c>
      <c r="R21" s="3" t="str">
        <f>IF($A21="","",SUMIFS(reg_MedicineStock[TotalCost_ZMW],reg_MedicineStock[FlockID],$A21))</f>
        <v/>
      </c>
      <c r="S21" s="3" t="str">
        <f>IF($A21="","",SUMIFS(reg_Sales_Dispatch[TotalValue_ZMW],reg_Sales_Dispatch[FlockID],$A21))</f>
        <v/>
      </c>
      <c r="T21" s="7" t="str">
        <f>IF($A21="","",SUMIFS(reg_Sales_Dispatch[BirdsDispatched],reg_Sales_Dispatch[FlockID],$A21))</f>
        <v/>
      </c>
      <c r="U21" s="3" t="str">
        <f t="shared" si="5"/>
        <v/>
      </c>
      <c r="V21" s="3" t="str">
        <f t="shared" si="6"/>
        <v/>
      </c>
      <c r="W21" s="3" t="str">
        <f t="shared" si="7"/>
        <v/>
      </c>
      <c r="X21" s="3" t="str">
        <f t="shared" si="8"/>
        <v/>
      </c>
    </row>
    <row r="22" spans="1:24" x14ac:dyDescent="0.3">
      <c r="A22" s="2" t="str">
        <f>IFERROR(INDEX(reg_Flocks[FlockID],ROW()-1),"")</f>
        <v/>
      </c>
      <c r="B22" s="2" t="str">
        <f>IF($A22="","",IFERROR(INDEX(mst_Houses[HouseCode],MATCH(INDEX(reg_Flocks[HouseID],MATCH($A22,reg_Flocks[FlockID],0)),mst_Houses[HouseID],0)),""))</f>
        <v/>
      </c>
      <c r="C22" s="2" t="str">
        <f>IF($A22="","",IFERROR(INDEX(mst_Breeds[BreedName],MATCH(INDEX(reg_Flocks[BreedID],MATCH($A22,reg_Flocks[FlockID],0)),mst_Breeds[BreedID],0)),""))</f>
        <v/>
      </c>
      <c r="D22" s="6" t="str">
        <f>IF($A22="","",INDEX(reg_Flocks[PlacedDate],MATCH($A22,reg_Flocks[FlockID],0)))</f>
        <v/>
      </c>
      <c r="E22" s="2" t="str">
        <f>IF($A22="","",INDEX(reg_Flocks[Status],MATCH($A22,reg_Flocks[FlockID],0)))</f>
        <v/>
      </c>
      <c r="F22" s="7" t="str">
        <f t="shared" ca="1" si="0"/>
        <v/>
      </c>
      <c r="G22" s="7" t="str">
        <f>IF($A22="","",INDEX(reg_Flocks[InitialBirdCount],MATCH($A22,reg_Flocks[FlockID],0)))</f>
        <v/>
      </c>
      <c r="H22" s="7" t="str">
        <f>IF($A22="","",SUMIFS(reg_DailyMortality[MortalityCount],reg_DailyMortality[FlockID],$A22))</f>
        <v/>
      </c>
      <c r="I22" s="7" t="str">
        <f t="shared" si="1"/>
        <v/>
      </c>
      <c r="J22" s="12" t="str">
        <f t="shared" si="2"/>
        <v/>
      </c>
      <c r="K22" s="7" t="str">
        <f>IF($A22="","",SUMIFS(reg_FeedConsumption[KgUsed],reg_FeedConsumption[FlockID],$A22))</f>
        <v/>
      </c>
      <c r="L22" s="3" t="str">
        <f>IF($A22="","",SUMIFS(reg_FeedConsumption[CostZMW],reg_FeedConsumption[FlockID],$A22))</f>
        <v/>
      </c>
      <c r="M22" s="6" t="str">
        <f>IF($A22="","",IFERROR(_xlfn.MAXIFS(reg_WeeklyWeights[Date],reg_WeeklyWeights[FlockID],$A22),""))</f>
        <v/>
      </c>
      <c r="N22" s="7" t="str">
        <f>IF($A22="","",IFERROR(SUMIFS(reg_WeeklyWeights[AvgBodyWeightG],reg_WeeklyWeights[FlockID],$A22,reg_WeeklyWeights[Date],$M22),0))</f>
        <v/>
      </c>
      <c r="O22" s="13" t="str">
        <f t="shared" si="3"/>
        <v/>
      </c>
      <c r="P22" s="9" t="str">
        <f t="shared" si="4"/>
        <v/>
      </c>
      <c r="Q22" s="3" t="str">
        <f>IF($A22="","",SUMIFS(reg_Expenses[Amount_ZMW],reg_Expenses[FlockID],$A22))</f>
        <v/>
      </c>
      <c r="R22" s="3" t="str">
        <f>IF($A22="","",SUMIFS(reg_MedicineStock[TotalCost_ZMW],reg_MedicineStock[FlockID],$A22))</f>
        <v/>
      </c>
      <c r="S22" s="3" t="str">
        <f>IF($A22="","",SUMIFS(reg_Sales_Dispatch[TotalValue_ZMW],reg_Sales_Dispatch[FlockID],$A22))</f>
        <v/>
      </c>
      <c r="T22" s="7" t="str">
        <f>IF($A22="","",SUMIFS(reg_Sales_Dispatch[BirdsDispatched],reg_Sales_Dispatch[FlockID],$A22))</f>
        <v/>
      </c>
      <c r="U22" s="3" t="str">
        <f t="shared" si="5"/>
        <v/>
      </c>
      <c r="V22" s="3" t="str">
        <f t="shared" si="6"/>
        <v/>
      </c>
      <c r="W22" s="3" t="str">
        <f t="shared" si="7"/>
        <v/>
      </c>
      <c r="X22" s="3" t="str">
        <f t="shared" si="8"/>
        <v/>
      </c>
    </row>
    <row r="23" spans="1:24" x14ac:dyDescent="0.3">
      <c r="A23" s="2" t="str">
        <f>IFERROR(INDEX(reg_Flocks[FlockID],ROW()-1),"")</f>
        <v/>
      </c>
      <c r="B23" s="2" t="str">
        <f>IF($A23="","",IFERROR(INDEX(mst_Houses[HouseCode],MATCH(INDEX(reg_Flocks[HouseID],MATCH($A23,reg_Flocks[FlockID],0)),mst_Houses[HouseID],0)),""))</f>
        <v/>
      </c>
      <c r="C23" s="2" t="str">
        <f>IF($A23="","",IFERROR(INDEX(mst_Breeds[BreedName],MATCH(INDEX(reg_Flocks[BreedID],MATCH($A23,reg_Flocks[FlockID],0)),mst_Breeds[BreedID],0)),""))</f>
        <v/>
      </c>
      <c r="D23" s="6" t="str">
        <f>IF($A23="","",INDEX(reg_Flocks[PlacedDate],MATCH($A23,reg_Flocks[FlockID],0)))</f>
        <v/>
      </c>
      <c r="E23" s="2" t="str">
        <f>IF($A23="","",INDEX(reg_Flocks[Status],MATCH($A23,reg_Flocks[FlockID],0)))</f>
        <v/>
      </c>
      <c r="F23" s="7" t="str">
        <f t="shared" ca="1" si="0"/>
        <v/>
      </c>
      <c r="G23" s="7" t="str">
        <f>IF($A23="","",INDEX(reg_Flocks[InitialBirdCount],MATCH($A23,reg_Flocks[FlockID],0)))</f>
        <v/>
      </c>
      <c r="H23" s="7" t="str">
        <f>IF($A23="","",SUMIFS(reg_DailyMortality[MortalityCount],reg_DailyMortality[FlockID],$A23))</f>
        <v/>
      </c>
      <c r="I23" s="7" t="str">
        <f t="shared" si="1"/>
        <v/>
      </c>
      <c r="J23" s="12" t="str">
        <f t="shared" si="2"/>
        <v/>
      </c>
      <c r="K23" s="7" t="str">
        <f>IF($A23="","",SUMIFS(reg_FeedConsumption[KgUsed],reg_FeedConsumption[FlockID],$A23))</f>
        <v/>
      </c>
      <c r="L23" s="3" t="str">
        <f>IF($A23="","",SUMIFS(reg_FeedConsumption[CostZMW],reg_FeedConsumption[FlockID],$A23))</f>
        <v/>
      </c>
      <c r="M23" s="6" t="str">
        <f>IF($A23="","",IFERROR(_xlfn.MAXIFS(reg_WeeklyWeights[Date],reg_WeeklyWeights[FlockID],$A23),""))</f>
        <v/>
      </c>
      <c r="N23" s="7" t="str">
        <f>IF($A23="","",IFERROR(SUMIFS(reg_WeeklyWeights[AvgBodyWeightG],reg_WeeklyWeights[FlockID],$A23,reg_WeeklyWeights[Date],$M23),0))</f>
        <v/>
      </c>
      <c r="O23" s="13" t="str">
        <f t="shared" si="3"/>
        <v/>
      </c>
      <c r="P23" s="9" t="str">
        <f t="shared" si="4"/>
        <v/>
      </c>
      <c r="Q23" s="3" t="str">
        <f>IF($A23="","",SUMIFS(reg_Expenses[Amount_ZMW],reg_Expenses[FlockID],$A23))</f>
        <v/>
      </c>
      <c r="R23" s="3" t="str">
        <f>IF($A23="","",SUMIFS(reg_MedicineStock[TotalCost_ZMW],reg_MedicineStock[FlockID],$A23))</f>
        <v/>
      </c>
      <c r="S23" s="3" t="str">
        <f>IF($A23="","",SUMIFS(reg_Sales_Dispatch[TotalValue_ZMW],reg_Sales_Dispatch[FlockID],$A23))</f>
        <v/>
      </c>
      <c r="T23" s="7" t="str">
        <f>IF($A23="","",SUMIFS(reg_Sales_Dispatch[BirdsDispatched],reg_Sales_Dispatch[FlockID],$A23))</f>
        <v/>
      </c>
      <c r="U23" s="3" t="str">
        <f t="shared" si="5"/>
        <v/>
      </c>
      <c r="V23" s="3" t="str">
        <f t="shared" si="6"/>
        <v/>
      </c>
      <c r="W23" s="3" t="str">
        <f t="shared" si="7"/>
        <v/>
      </c>
      <c r="X23" s="3" t="str">
        <f t="shared" si="8"/>
        <v/>
      </c>
    </row>
    <row r="24" spans="1:24" x14ac:dyDescent="0.3">
      <c r="A24" s="2" t="str">
        <f>IFERROR(INDEX(reg_Flocks[FlockID],ROW()-1),"")</f>
        <v/>
      </c>
      <c r="B24" s="2" t="str">
        <f>IF($A24="","",IFERROR(INDEX(mst_Houses[HouseCode],MATCH(INDEX(reg_Flocks[HouseID],MATCH($A24,reg_Flocks[FlockID],0)),mst_Houses[HouseID],0)),""))</f>
        <v/>
      </c>
      <c r="C24" s="2" t="str">
        <f>IF($A24="","",IFERROR(INDEX(mst_Breeds[BreedName],MATCH(INDEX(reg_Flocks[BreedID],MATCH($A24,reg_Flocks[FlockID],0)),mst_Breeds[BreedID],0)),""))</f>
        <v/>
      </c>
      <c r="D24" s="6" t="str">
        <f>IF($A24="","",INDEX(reg_Flocks[PlacedDate],MATCH($A24,reg_Flocks[FlockID],0)))</f>
        <v/>
      </c>
      <c r="E24" s="2" t="str">
        <f>IF($A24="","",INDEX(reg_Flocks[Status],MATCH($A24,reg_Flocks[FlockID],0)))</f>
        <v/>
      </c>
      <c r="F24" s="7" t="str">
        <f t="shared" ca="1" si="0"/>
        <v/>
      </c>
      <c r="G24" s="7" t="str">
        <f>IF($A24="","",INDEX(reg_Flocks[InitialBirdCount],MATCH($A24,reg_Flocks[FlockID],0)))</f>
        <v/>
      </c>
      <c r="H24" s="7" t="str">
        <f>IF($A24="","",SUMIFS(reg_DailyMortality[MortalityCount],reg_DailyMortality[FlockID],$A24))</f>
        <v/>
      </c>
      <c r="I24" s="7" t="str">
        <f t="shared" si="1"/>
        <v/>
      </c>
      <c r="J24" s="12" t="str">
        <f t="shared" si="2"/>
        <v/>
      </c>
      <c r="K24" s="7" t="str">
        <f>IF($A24="","",SUMIFS(reg_FeedConsumption[KgUsed],reg_FeedConsumption[FlockID],$A24))</f>
        <v/>
      </c>
      <c r="L24" s="3" t="str">
        <f>IF($A24="","",SUMIFS(reg_FeedConsumption[CostZMW],reg_FeedConsumption[FlockID],$A24))</f>
        <v/>
      </c>
      <c r="M24" s="6" t="str">
        <f>IF($A24="","",IFERROR(_xlfn.MAXIFS(reg_WeeklyWeights[Date],reg_WeeklyWeights[FlockID],$A24),""))</f>
        <v/>
      </c>
      <c r="N24" s="7" t="str">
        <f>IF($A24="","",IFERROR(SUMIFS(reg_WeeklyWeights[AvgBodyWeightG],reg_WeeklyWeights[FlockID],$A24,reg_WeeklyWeights[Date],$M24),0))</f>
        <v/>
      </c>
      <c r="O24" s="13" t="str">
        <f t="shared" si="3"/>
        <v/>
      </c>
      <c r="P24" s="9" t="str">
        <f t="shared" si="4"/>
        <v/>
      </c>
      <c r="Q24" s="3" t="str">
        <f>IF($A24="","",SUMIFS(reg_Expenses[Amount_ZMW],reg_Expenses[FlockID],$A24))</f>
        <v/>
      </c>
      <c r="R24" s="3" t="str">
        <f>IF($A24="","",SUMIFS(reg_MedicineStock[TotalCost_ZMW],reg_MedicineStock[FlockID],$A24))</f>
        <v/>
      </c>
      <c r="S24" s="3" t="str">
        <f>IF($A24="","",SUMIFS(reg_Sales_Dispatch[TotalValue_ZMW],reg_Sales_Dispatch[FlockID],$A24))</f>
        <v/>
      </c>
      <c r="T24" s="7" t="str">
        <f>IF($A24="","",SUMIFS(reg_Sales_Dispatch[BirdsDispatched],reg_Sales_Dispatch[FlockID],$A24))</f>
        <v/>
      </c>
      <c r="U24" s="3" t="str">
        <f t="shared" si="5"/>
        <v/>
      </c>
      <c r="V24" s="3" t="str">
        <f t="shared" si="6"/>
        <v/>
      </c>
      <c r="W24" s="3" t="str">
        <f t="shared" si="7"/>
        <v/>
      </c>
      <c r="X24" s="3" t="str">
        <f t="shared" si="8"/>
        <v/>
      </c>
    </row>
    <row r="25" spans="1:24" x14ac:dyDescent="0.3">
      <c r="A25" s="2" t="str">
        <f>IFERROR(INDEX(reg_Flocks[FlockID],ROW()-1),"")</f>
        <v/>
      </c>
      <c r="B25" s="2" t="str">
        <f>IF($A25="","",IFERROR(INDEX(mst_Houses[HouseCode],MATCH(INDEX(reg_Flocks[HouseID],MATCH($A25,reg_Flocks[FlockID],0)),mst_Houses[HouseID],0)),""))</f>
        <v/>
      </c>
      <c r="C25" s="2" t="str">
        <f>IF($A25="","",IFERROR(INDEX(mst_Breeds[BreedName],MATCH(INDEX(reg_Flocks[BreedID],MATCH($A25,reg_Flocks[FlockID],0)),mst_Breeds[BreedID],0)),""))</f>
        <v/>
      </c>
      <c r="D25" s="6" t="str">
        <f>IF($A25="","",INDEX(reg_Flocks[PlacedDate],MATCH($A25,reg_Flocks[FlockID],0)))</f>
        <v/>
      </c>
      <c r="E25" s="2" t="str">
        <f>IF($A25="","",INDEX(reg_Flocks[Status],MATCH($A25,reg_Flocks[FlockID],0)))</f>
        <v/>
      </c>
      <c r="F25" s="7" t="str">
        <f t="shared" ca="1" si="0"/>
        <v/>
      </c>
      <c r="G25" s="7" t="str">
        <f>IF($A25="","",INDEX(reg_Flocks[InitialBirdCount],MATCH($A25,reg_Flocks[FlockID],0)))</f>
        <v/>
      </c>
      <c r="H25" s="7" t="str">
        <f>IF($A25="","",SUMIFS(reg_DailyMortality[MortalityCount],reg_DailyMortality[FlockID],$A25))</f>
        <v/>
      </c>
      <c r="I25" s="7" t="str">
        <f t="shared" si="1"/>
        <v/>
      </c>
      <c r="J25" s="12" t="str">
        <f t="shared" si="2"/>
        <v/>
      </c>
      <c r="K25" s="7" t="str">
        <f>IF($A25="","",SUMIFS(reg_FeedConsumption[KgUsed],reg_FeedConsumption[FlockID],$A25))</f>
        <v/>
      </c>
      <c r="L25" s="3" t="str">
        <f>IF($A25="","",SUMIFS(reg_FeedConsumption[CostZMW],reg_FeedConsumption[FlockID],$A25))</f>
        <v/>
      </c>
      <c r="M25" s="6" t="str">
        <f>IF($A25="","",IFERROR(_xlfn.MAXIFS(reg_WeeklyWeights[Date],reg_WeeklyWeights[FlockID],$A25),""))</f>
        <v/>
      </c>
      <c r="N25" s="7" t="str">
        <f>IF($A25="","",IFERROR(SUMIFS(reg_WeeklyWeights[AvgBodyWeightG],reg_WeeklyWeights[FlockID],$A25,reg_WeeklyWeights[Date],$M25),0))</f>
        <v/>
      </c>
      <c r="O25" s="13" t="str">
        <f t="shared" si="3"/>
        <v/>
      </c>
      <c r="P25" s="9" t="str">
        <f t="shared" si="4"/>
        <v/>
      </c>
      <c r="Q25" s="3" t="str">
        <f>IF($A25="","",SUMIFS(reg_Expenses[Amount_ZMW],reg_Expenses[FlockID],$A25))</f>
        <v/>
      </c>
      <c r="R25" s="3" t="str">
        <f>IF($A25="","",SUMIFS(reg_MedicineStock[TotalCost_ZMW],reg_MedicineStock[FlockID],$A25))</f>
        <v/>
      </c>
      <c r="S25" s="3" t="str">
        <f>IF($A25="","",SUMIFS(reg_Sales_Dispatch[TotalValue_ZMW],reg_Sales_Dispatch[FlockID],$A25))</f>
        <v/>
      </c>
      <c r="T25" s="7" t="str">
        <f>IF($A25="","",SUMIFS(reg_Sales_Dispatch[BirdsDispatched],reg_Sales_Dispatch[FlockID],$A25))</f>
        <v/>
      </c>
      <c r="U25" s="3" t="str">
        <f t="shared" si="5"/>
        <v/>
      </c>
      <c r="V25" s="3" t="str">
        <f t="shared" si="6"/>
        <v/>
      </c>
      <c r="W25" s="3" t="str">
        <f t="shared" si="7"/>
        <v/>
      </c>
      <c r="X25" s="3" t="str">
        <f t="shared" si="8"/>
        <v/>
      </c>
    </row>
    <row r="26" spans="1:24" x14ac:dyDescent="0.3">
      <c r="A26" s="2" t="str">
        <f>IFERROR(INDEX(reg_Flocks[FlockID],ROW()-1),"")</f>
        <v/>
      </c>
      <c r="B26" s="2" t="str">
        <f>IF($A26="","",IFERROR(INDEX(mst_Houses[HouseCode],MATCH(INDEX(reg_Flocks[HouseID],MATCH($A26,reg_Flocks[FlockID],0)),mst_Houses[HouseID],0)),""))</f>
        <v/>
      </c>
      <c r="C26" s="2" t="str">
        <f>IF($A26="","",IFERROR(INDEX(mst_Breeds[BreedName],MATCH(INDEX(reg_Flocks[BreedID],MATCH($A26,reg_Flocks[FlockID],0)),mst_Breeds[BreedID],0)),""))</f>
        <v/>
      </c>
      <c r="D26" s="6" t="str">
        <f>IF($A26="","",INDEX(reg_Flocks[PlacedDate],MATCH($A26,reg_Flocks[FlockID],0)))</f>
        <v/>
      </c>
      <c r="E26" s="2" t="str">
        <f>IF($A26="","",INDEX(reg_Flocks[Status],MATCH($A26,reg_Flocks[FlockID],0)))</f>
        <v/>
      </c>
      <c r="F26" s="7" t="str">
        <f t="shared" ca="1" si="0"/>
        <v/>
      </c>
      <c r="G26" s="7" t="str">
        <f>IF($A26="","",INDEX(reg_Flocks[InitialBirdCount],MATCH($A26,reg_Flocks[FlockID],0)))</f>
        <v/>
      </c>
      <c r="H26" s="7" t="str">
        <f>IF($A26="","",SUMIFS(reg_DailyMortality[MortalityCount],reg_DailyMortality[FlockID],$A26))</f>
        <v/>
      </c>
      <c r="I26" s="7" t="str">
        <f t="shared" si="1"/>
        <v/>
      </c>
      <c r="J26" s="12" t="str">
        <f t="shared" si="2"/>
        <v/>
      </c>
      <c r="K26" s="7" t="str">
        <f>IF($A26="","",SUMIFS(reg_FeedConsumption[KgUsed],reg_FeedConsumption[FlockID],$A26))</f>
        <v/>
      </c>
      <c r="L26" s="3" t="str">
        <f>IF($A26="","",SUMIFS(reg_FeedConsumption[CostZMW],reg_FeedConsumption[FlockID],$A26))</f>
        <v/>
      </c>
      <c r="M26" s="6" t="str">
        <f>IF($A26="","",IFERROR(_xlfn.MAXIFS(reg_WeeklyWeights[Date],reg_WeeklyWeights[FlockID],$A26),""))</f>
        <v/>
      </c>
      <c r="N26" s="7" t="str">
        <f>IF($A26="","",IFERROR(SUMIFS(reg_WeeklyWeights[AvgBodyWeightG],reg_WeeklyWeights[FlockID],$A26,reg_WeeklyWeights[Date],$M26),0))</f>
        <v/>
      </c>
      <c r="O26" s="13" t="str">
        <f t="shared" si="3"/>
        <v/>
      </c>
      <c r="P26" s="9" t="str">
        <f t="shared" si="4"/>
        <v/>
      </c>
      <c r="Q26" s="3" t="str">
        <f>IF($A26="","",SUMIFS(reg_Expenses[Amount_ZMW],reg_Expenses[FlockID],$A26))</f>
        <v/>
      </c>
      <c r="R26" s="3" t="str">
        <f>IF($A26="","",SUMIFS(reg_MedicineStock[TotalCost_ZMW],reg_MedicineStock[FlockID],$A26))</f>
        <v/>
      </c>
      <c r="S26" s="3" t="str">
        <f>IF($A26="","",SUMIFS(reg_Sales_Dispatch[TotalValue_ZMW],reg_Sales_Dispatch[FlockID],$A26))</f>
        <v/>
      </c>
      <c r="T26" s="7" t="str">
        <f>IF($A26="","",SUMIFS(reg_Sales_Dispatch[BirdsDispatched],reg_Sales_Dispatch[FlockID],$A26))</f>
        <v/>
      </c>
      <c r="U26" s="3" t="str">
        <f t="shared" si="5"/>
        <v/>
      </c>
      <c r="V26" s="3" t="str">
        <f t="shared" si="6"/>
        <v/>
      </c>
      <c r="W26" s="3" t="str">
        <f t="shared" si="7"/>
        <v/>
      </c>
      <c r="X26" s="3" t="str">
        <f t="shared" si="8"/>
        <v/>
      </c>
    </row>
    <row r="27" spans="1:24" x14ac:dyDescent="0.3">
      <c r="A27" s="2" t="str">
        <f>IFERROR(INDEX(reg_Flocks[FlockID],ROW()-1),"")</f>
        <v/>
      </c>
      <c r="B27" s="2" t="str">
        <f>IF($A27="","",IFERROR(INDEX(mst_Houses[HouseCode],MATCH(INDEX(reg_Flocks[HouseID],MATCH($A27,reg_Flocks[FlockID],0)),mst_Houses[HouseID],0)),""))</f>
        <v/>
      </c>
      <c r="C27" s="2" t="str">
        <f>IF($A27="","",IFERROR(INDEX(mst_Breeds[BreedName],MATCH(INDEX(reg_Flocks[BreedID],MATCH($A27,reg_Flocks[FlockID],0)),mst_Breeds[BreedID],0)),""))</f>
        <v/>
      </c>
      <c r="D27" s="6" t="str">
        <f>IF($A27="","",INDEX(reg_Flocks[PlacedDate],MATCH($A27,reg_Flocks[FlockID],0)))</f>
        <v/>
      </c>
      <c r="E27" s="2" t="str">
        <f>IF($A27="","",INDEX(reg_Flocks[Status],MATCH($A27,reg_Flocks[FlockID],0)))</f>
        <v/>
      </c>
      <c r="F27" s="7" t="str">
        <f t="shared" ca="1" si="0"/>
        <v/>
      </c>
      <c r="G27" s="7" t="str">
        <f>IF($A27="","",INDEX(reg_Flocks[InitialBirdCount],MATCH($A27,reg_Flocks[FlockID],0)))</f>
        <v/>
      </c>
      <c r="H27" s="7" t="str">
        <f>IF($A27="","",SUMIFS(reg_DailyMortality[MortalityCount],reg_DailyMortality[FlockID],$A27))</f>
        <v/>
      </c>
      <c r="I27" s="7" t="str">
        <f t="shared" si="1"/>
        <v/>
      </c>
      <c r="J27" s="12" t="str">
        <f t="shared" si="2"/>
        <v/>
      </c>
      <c r="K27" s="7" t="str">
        <f>IF($A27="","",SUMIFS(reg_FeedConsumption[KgUsed],reg_FeedConsumption[FlockID],$A27))</f>
        <v/>
      </c>
      <c r="L27" s="3" t="str">
        <f>IF($A27="","",SUMIFS(reg_FeedConsumption[CostZMW],reg_FeedConsumption[FlockID],$A27))</f>
        <v/>
      </c>
      <c r="M27" s="6" t="str">
        <f>IF($A27="","",IFERROR(_xlfn.MAXIFS(reg_WeeklyWeights[Date],reg_WeeklyWeights[FlockID],$A27),""))</f>
        <v/>
      </c>
      <c r="N27" s="7" t="str">
        <f>IF($A27="","",IFERROR(SUMIFS(reg_WeeklyWeights[AvgBodyWeightG],reg_WeeklyWeights[FlockID],$A27,reg_WeeklyWeights[Date],$M27),0))</f>
        <v/>
      </c>
      <c r="O27" s="13" t="str">
        <f t="shared" si="3"/>
        <v/>
      </c>
      <c r="P27" s="9" t="str">
        <f t="shared" si="4"/>
        <v/>
      </c>
      <c r="Q27" s="3" t="str">
        <f>IF($A27="","",SUMIFS(reg_Expenses[Amount_ZMW],reg_Expenses[FlockID],$A27))</f>
        <v/>
      </c>
      <c r="R27" s="3" t="str">
        <f>IF($A27="","",SUMIFS(reg_MedicineStock[TotalCost_ZMW],reg_MedicineStock[FlockID],$A27))</f>
        <v/>
      </c>
      <c r="S27" s="3" t="str">
        <f>IF($A27="","",SUMIFS(reg_Sales_Dispatch[TotalValue_ZMW],reg_Sales_Dispatch[FlockID],$A27))</f>
        <v/>
      </c>
      <c r="T27" s="7" t="str">
        <f>IF($A27="","",SUMIFS(reg_Sales_Dispatch[BirdsDispatched],reg_Sales_Dispatch[FlockID],$A27))</f>
        <v/>
      </c>
      <c r="U27" s="3" t="str">
        <f t="shared" si="5"/>
        <v/>
      </c>
      <c r="V27" s="3" t="str">
        <f t="shared" si="6"/>
        <v/>
      </c>
      <c r="W27" s="3" t="str">
        <f t="shared" si="7"/>
        <v/>
      </c>
      <c r="X27" s="3" t="str">
        <f t="shared" si="8"/>
        <v/>
      </c>
    </row>
    <row r="28" spans="1:24" x14ac:dyDescent="0.3">
      <c r="A28" s="2" t="str">
        <f>IFERROR(INDEX(reg_Flocks[FlockID],ROW()-1),"")</f>
        <v/>
      </c>
      <c r="B28" s="2" t="str">
        <f>IF($A28="","",IFERROR(INDEX(mst_Houses[HouseCode],MATCH(INDEX(reg_Flocks[HouseID],MATCH($A28,reg_Flocks[FlockID],0)),mst_Houses[HouseID],0)),""))</f>
        <v/>
      </c>
      <c r="C28" s="2" t="str">
        <f>IF($A28="","",IFERROR(INDEX(mst_Breeds[BreedName],MATCH(INDEX(reg_Flocks[BreedID],MATCH($A28,reg_Flocks[FlockID],0)),mst_Breeds[BreedID],0)),""))</f>
        <v/>
      </c>
      <c r="D28" s="6" t="str">
        <f>IF($A28="","",INDEX(reg_Flocks[PlacedDate],MATCH($A28,reg_Flocks[FlockID],0)))</f>
        <v/>
      </c>
      <c r="E28" s="2" t="str">
        <f>IF($A28="","",INDEX(reg_Flocks[Status],MATCH($A28,reg_Flocks[FlockID],0)))</f>
        <v/>
      </c>
      <c r="F28" s="7" t="str">
        <f t="shared" ca="1" si="0"/>
        <v/>
      </c>
      <c r="G28" s="7" t="str">
        <f>IF($A28="","",INDEX(reg_Flocks[InitialBirdCount],MATCH($A28,reg_Flocks[FlockID],0)))</f>
        <v/>
      </c>
      <c r="H28" s="7" t="str">
        <f>IF($A28="","",SUMIFS(reg_DailyMortality[MortalityCount],reg_DailyMortality[FlockID],$A28))</f>
        <v/>
      </c>
      <c r="I28" s="7" t="str">
        <f t="shared" si="1"/>
        <v/>
      </c>
      <c r="J28" s="12" t="str">
        <f t="shared" si="2"/>
        <v/>
      </c>
      <c r="K28" s="7" t="str">
        <f>IF($A28="","",SUMIFS(reg_FeedConsumption[KgUsed],reg_FeedConsumption[FlockID],$A28))</f>
        <v/>
      </c>
      <c r="L28" s="3" t="str">
        <f>IF($A28="","",SUMIFS(reg_FeedConsumption[CostZMW],reg_FeedConsumption[FlockID],$A28))</f>
        <v/>
      </c>
      <c r="M28" s="6" t="str">
        <f>IF($A28="","",IFERROR(_xlfn.MAXIFS(reg_WeeklyWeights[Date],reg_WeeklyWeights[FlockID],$A28),""))</f>
        <v/>
      </c>
      <c r="N28" s="7" t="str">
        <f>IF($A28="","",IFERROR(SUMIFS(reg_WeeklyWeights[AvgBodyWeightG],reg_WeeklyWeights[FlockID],$A28,reg_WeeklyWeights[Date],$M28),0))</f>
        <v/>
      </c>
      <c r="O28" s="13" t="str">
        <f t="shared" si="3"/>
        <v/>
      </c>
      <c r="P28" s="9" t="str">
        <f t="shared" si="4"/>
        <v/>
      </c>
      <c r="Q28" s="3" t="str">
        <f>IF($A28="","",SUMIFS(reg_Expenses[Amount_ZMW],reg_Expenses[FlockID],$A28))</f>
        <v/>
      </c>
      <c r="R28" s="3" t="str">
        <f>IF($A28="","",SUMIFS(reg_MedicineStock[TotalCost_ZMW],reg_MedicineStock[FlockID],$A28))</f>
        <v/>
      </c>
      <c r="S28" s="3" t="str">
        <f>IF($A28="","",SUMIFS(reg_Sales_Dispatch[TotalValue_ZMW],reg_Sales_Dispatch[FlockID],$A28))</f>
        <v/>
      </c>
      <c r="T28" s="7" t="str">
        <f>IF($A28="","",SUMIFS(reg_Sales_Dispatch[BirdsDispatched],reg_Sales_Dispatch[FlockID],$A28))</f>
        <v/>
      </c>
      <c r="U28" s="3" t="str">
        <f t="shared" si="5"/>
        <v/>
      </c>
      <c r="V28" s="3" t="str">
        <f t="shared" si="6"/>
        <v/>
      </c>
      <c r="W28" s="3" t="str">
        <f t="shared" si="7"/>
        <v/>
      </c>
      <c r="X28" s="3" t="str">
        <f t="shared" si="8"/>
        <v/>
      </c>
    </row>
    <row r="29" spans="1:24" x14ac:dyDescent="0.3">
      <c r="A29" s="2" t="str">
        <f>IFERROR(INDEX(reg_Flocks[FlockID],ROW()-1),"")</f>
        <v/>
      </c>
      <c r="B29" s="2" t="str">
        <f>IF($A29="","",IFERROR(INDEX(mst_Houses[HouseCode],MATCH(INDEX(reg_Flocks[HouseID],MATCH($A29,reg_Flocks[FlockID],0)),mst_Houses[HouseID],0)),""))</f>
        <v/>
      </c>
      <c r="C29" s="2" t="str">
        <f>IF($A29="","",IFERROR(INDEX(mst_Breeds[BreedName],MATCH(INDEX(reg_Flocks[BreedID],MATCH($A29,reg_Flocks[FlockID],0)),mst_Breeds[BreedID],0)),""))</f>
        <v/>
      </c>
      <c r="D29" s="6" t="str">
        <f>IF($A29="","",INDEX(reg_Flocks[PlacedDate],MATCH($A29,reg_Flocks[FlockID],0)))</f>
        <v/>
      </c>
      <c r="E29" s="2" t="str">
        <f>IF($A29="","",INDEX(reg_Flocks[Status],MATCH($A29,reg_Flocks[FlockID],0)))</f>
        <v/>
      </c>
      <c r="F29" s="7" t="str">
        <f t="shared" ca="1" si="0"/>
        <v/>
      </c>
      <c r="G29" s="7" t="str">
        <f>IF($A29="","",INDEX(reg_Flocks[InitialBirdCount],MATCH($A29,reg_Flocks[FlockID],0)))</f>
        <v/>
      </c>
      <c r="H29" s="7" t="str">
        <f>IF($A29="","",SUMIFS(reg_DailyMortality[MortalityCount],reg_DailyMortality[FlockID],$A29))</f>
        <v/>
      </c>
      <c r="I29" s="7" t="str">
        <f t="shared" si="1"/>
        <v/>
      </c>
      <c r="J29" s="12" t="str">
        <f t="shared" si="2"/>
        <v/>
      </c>
      <c r="K29" s="7" t="str">
        <f>IF($A29="","",SUMIFS(reg_FeedConsumption[KgUsed],reg_FeedConsumption[FlockID],$A29))</f>
        <v/>
      </c>
      <c r="L29" s="3" t="str">
        <f>IF($A29="","",SUMIFS(reg_FeedConsumption[CostZMW],reg_FeedConsumption[FlockID],$A29))</f>
        <v/>
      </c>
      <c r="M29" s="6" t="str">
        <f>IF($A29="","",IFERROR(_xlfn.MAXIFS(reg_WeeklyWeights[Date],reg_WeeklyWeights[FlockID],$A29),""))</f>
        <v/>
      </c>
      <c r="N29" s="7" t="str">
        <f>IF($A29="","",IFERROR(SUMIFS(reg_WeeklyWeights[AvgBodyWeightG],reg_WeeklyWeights[FlockID],$A29,reg_WeeklyWeights[Date],$M29),0))</f>
        <v/>
      </c>
      <c r="O29" s="13" t="str">
        <f t="shared" si="3"/>
        <v/>
      </c>
      <c r="P29" s="9" t="str">
        <f t="shared" si="4"/>
        <v/>
      </c>
      <c r="Q29" s="3" t="str">
        <f>IF($A29="","",SUMIFS(reg_Expenses[Amount_ZMW],reg_Expenses[FlockID],$A29))</f>
        <v/>
      </c>
      <c r="R29" s="3" t="str">
        <f>IF($A29="","",SUMIFS(reg_MedicineStock[TotalCost_ZMW],reg_MedicineStock[FlockID],$A29))</f>
        <v/>
      </c>
      <c r="S29" s="3" t="str">
        <f>IF($A29="","",SUMIFS(reg_Sales_Dispatch[TotalValue_ZMW],reg_Sales_Dispatch[FlockID],$A29))</f>
        <v/>
      </c>
      <c r="T29" s="7" t="str">
        <f>IF($A29="","",SUMIFS(reg_Sales_Dispatch[BirdsDispatched],reg_Sales_Dispatch[FlockID],$A29))</f>
        <v/>
      </c>
      <c r="U29" s="3" t="str">
        <f t="shared" si="5"/>
        <v/>
      </c>
      <c r="V29" s="3" t="str">
        <f t="shared" si="6"/>
        <v/>
      </c>
      <c r="W29" s="3" t="str">
        <f t="shared" si="7"/>
        <v/>
      </c>
      <c r="X29" s="3" t="str">
        <f t="shared" si="8"/>
        <v/>
      </c>
    </row>
    <row r="30" spans="1:24" x14ac:dyDescent="0.3">
      <c r="A30" s="2" t="str">
        <f>IFERROR(INDEX(reg_Flocks[FlockID],ROW()-1),"")</f>
        <v/>
      </c>
      <c r="B30" s="2" t="str">
        <f>IF($A30="","",IFERROR(INDEX(mst_Houses[HouseCode],MATCH(INDEX(reg_Flocks[HouseID],MATCH($A30,reg_Flocks[FlockID],0)),mst_Houses[HouseID],0)),""))</f>
        <v/>
      </c>
      <c r="C30" s="2" t="str">
        <f>IF($A30="","",IFERROR(INDEX(mst_Breeds[BreedName],MATCH(INDEX(reg_Flocks[BreedID],MATCH($A30,reg_Flocks[FlockID],0)),mst_Breeds[BreedID],0)),""))</f>
        <v/>
      </c>
      <c r="D30" s="6" t="str">
        <f>IF($A30="","",INDEX(reg_Flocks[PlacedDate],MATCH($A30,reg_Flocks[FlockID],0)))</f>
        <v/>
      </c>
      <c r="E30" s="2" t="str">
        <f>IF($A30="","",INDEX(reg_Flocks[Status],MATCH($A30,reg_Flocks[FlockID],0)))</f>
        <v/>
      </c>
      <c r="F30" s="7" t="str">
        <f t="shared" ca="1" si="0"/>
        <v/>
      </c>
      <c r="G30" s="7" t="str">
        <f>IF($A30="","",INDEX(reg_Flocks[InitialBirdCount],MATCH($A30,reg_Flocks[FlockID],0)))</f>
        <v/>
      </c>
      <c r="H30" s="7" t="str">
        <f>IF($A30="","",SUMIFS(reg_DailyMortality[MortalityCount],reg_DailyMortality[FlockID],$A30))</f>
        <v/>
      </c>
      <c r="I30" s="7" t="str">
        <f t="shared" si="1"/>
        <v/>
      </c>
      <c r="J30" s="12" t="str">
        <f t="shared" si="2"/>
        <v/>
      </c>
      <c r="K30" s="7" t="str">
        <f>IF($A30="","",SUMIFS(reg_FeedConsumption[KgUsed],reg_FeedConsumption[FlockID],$A30))</f>
        <v/>
      </c>
      <c r="L30" s="3" t="str">
        <f>IF($A30="","",SUMIFS(reg_FeedConsumption[CostZMW],reg_FeedConsumption[FlockID],$A30))</f>
        <v/>
      </c>
      <c r="M30" s="6" t="str">
        <f>IF($A30="","",IFERROR(_xlfn.MAXIFS(reg_WeeklyWeights[Date],reg_WeeklyWeights[FlockID],$A30),""))</f>
        <v/>
      </c>
      <c r="N30" s="7" t="str">
        <f>IF($A30="","",IFERROR(SUMIFS(reg_WeeklyWeights[AvgBodyWeightG],reg_WeeklyWeights[FlockID],$A30,reg_WeeklyWeights[Date],$M30),0))</f>
        <v/>
      </c>
      <c r="O30" s="13" t="str">
        <f t="shared" si="3"/>
        <v/>
      </c>
      <c r="P30" s="9" t="str">
        <f t="shared" si="4"/>
        <v/>
      </c>
      <c r="Q30" s="3" t="str">
        <f>IF($A30="","",SUMIFS(reg_Expenses[Amount_ZMW],reg_Expenses[FlockID],$A30))</f>
        <v/>
      </c>
      <c r="R30" s="3" t="str">
        <f>IF($A30="","",SUMIFS(reg_MedicineStock[TotalCost_ZMW],reg_MedicineStock[FlockID],$A30))</f>
        <v/>
      </c>
      <c r="S30" s="3" t="str">
        <f>IF($A30="","",SUMIFS(reg_Sales_Dispatch[TotalValue_ZMW],reg_Sales_Dispatch[FlockID],$A30))</f>
        <v/>
      </c>
      <c r="T30" s="7" t="str">
        <f>IF($A30="","",SUMIFS(reg_Sales_Dispatch[BirdsDispatched],reg_Sales_Dispatch[FlockID],$A30))</f>
        <v/>
      </c>
      <c r="U30" s="3" t="str">
        <f t="shared" si="5"/>
        <v/>
      </c>
      <c r="V30" s="3" t="str">
        <f t="shared" si="6"/>
        <v/>
      </c>
      <c r="W30" s="3" t="str">
        <f t="shared" si="7"/>
        <v/>
      </c>
      <c r="X30" s="3" t="str">
        <f t="shared" si="8"/>
        <v/>
      </c>
    </row>
    <row r="31" spans="1:24" x14ac:dyDescent="0.3">
      <c r="A31" s="2" t="str">
        <f>IFERROR(INDEX(reg_Flocks[FlockID],ROW()-1),"")</f>
        <v/>
      </c>
      <c r="B31" s="2" t="str">
        <f>IF($A31="","",IFERROR(INDEX(mst_Houses[HouseCode],MATCH(INDEX(reg_Flocks[HouseID],MATCH($A31,reg_Flocks[FlockID],0)),mst_Houses[HouseID],0)),""))</f>
        <v/>
      </c>
      <c r="C31" s="2" t="str">
        <f>IF($A31="","",IFERROR(INDEX(mst_Breeds[BreedName],MATCH(INDEX(reg_Flocks[BreedID],MATCH($A31,reg_Flocks[FlockID],0)),mst_Breeds[BreedID],0)),""))</f>
        <v/>
      </c>
      <c r="D31" s="6" t="str">
        <f>IF($A31="","",INDEX(reg_Flocks[PlacedDate],MATCH($A31,reg_Flocks[FlockID],0)))</f>
        <v/>
      </c>
      <c r="E31" s="2" t="str">
        <f>IF($A31="","",INDEX(reg_Flocks[Status],MATCH($A31,reg_Flocks[FlockID],0)))</f>
        <v/>
      </c>
      <c r="F31" s="7" t="str">
        <f t="shared" ca="1" si="0"/>
        <v/>
      </c>
      <c r="G31" s="7" t="str">
        <f>IF($A31="","",INDEX(reg_Flocks[InitialBirdCount],MATCH($A31,reg_Flocks[FlockID],0)))</f>
        <v/>
      </c>
      <c r="H31" s="7" t="str">
        <f>IF($A31="","",SUMIFS(reg_DailyMortality[MortalityCount],reg_DailyMortality[FlockID],$A31))</f>
        <v/>
      </c>
      <c r="I31" s="7" t="str">
        <f t="shared" si="1"/>
        <v/>
      </c>
      <c r="J31" s="12" t="str">
        <f t="shared" si="2"/>
        <v/>
      </c>
      <c r="K31" s="7" t="str">
        <f>IF($A31="","",SUMIFS(reg_FeedConsumption[KgUsed],reg_FeedConsumption[FlockID],$A31))</f>
        <v/>
      </c>
      <c r="L31" s="3" t="str">
        <f>IF($A31="","",SUMIFS(reg_FeedConsumption[CostZMW],reg_FeedConsumption[FlockID],$A31))</f>
        <v/>
      </c>
      <c r="M31" s="6" t="str">
        <f>IF($A31="","",IFERROR(_xlfn.MAXIFS(reg_WeeklyWeights[Date],reg_WeeklyWeights[FlockID],$A31),""))</f>
        <v/>
      </c>
      <c r="N31" s="7" t="str">
        <f>IF($A31="","",IFERROR(SUMIFS(reg_WeeklyWeights[AvgBodyWeightG],reg_WeeklyWeights[FlockID],$A31,reg_WeeklyWeights[Date],$M31),0))</f>
        <v/>
      </c>
      <c r="O31" s="13" t="str">
        <f t="shared" si="3"/>
        <v/>
      </c>
      <c r="P31" s="9" t="str">
        <f t="shared" si="4"/>
        <v/>
      </c>
      <c r="Q31" s="3" t="str">
        <f>IF($A31="","",SUMIFS(reg_Expenses[Amount_ZMW],reg_Expenses[FlockID],$A31))</f>
        <v/>
      </c>
      <c r="R31" s="3" t="str">
        <f>IF($A31="","",SUMIFS(reg_MedicineStock[TotalCost_ZMW],reg_MedicineStock[FlockID],$A31))</f>
        <v/>
      </c>
      <c r="S31" s="3" t="str">
        <f>IF($A31="","",SUMIFS(reg_Sales_Dispatch[TotalValue_ZMW],reg_Sales_Dispatch[FlockID],$A31))</f>
        <v/>
      </c>
      <c r="T31" s="7" t="str">
        <f>IF($A31="","",SUMIFS(reg_Sales_Dispatch[BirdsDispatched],reg_Sales_Dispatch[FlockID],$A31))</f>
        <v/>
      </c>
      <c r="U31" s="3" t="str">
        <f t="shared" si="5"/>
        <v/>
      </c>
      <c r="V31" s="3" t="str">
        <f t="shared" si="6"/>
        <v/>
      </c>
      <c r="W31" s="3" t="str">
        <f t="shared" si="7"/>
        <v/>
      </c>
      <c r="X31" s="3" t="str">
        <f t="shared" si="8"/>
        <v/>
      </c>
    </row>
  </sheetData>
  <pageMargins left="0.75" right="0.75" top="1" bottom="1" header="0.5" footer="0.5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I2"/>
  <sheetViews>
    <sheetView workbookViewId="0"/>
  </sheetViews>
  <sheetFormatPr defaultRowHeight="14.4" x14ac:dyDescent="0.3"/>
  <cols>
    <col min="1" max="1" width="10" customWidth="1"/>
    <col min="2" max="2" width="18" customWidth="1"/>
    <col min="3" max="3" width="10" customWidth="1"/>
    <col min="4" max="4" width="14" customWidth="1"/>
    <col min="5" max="8" width="16" customWidth="1"/>
    <col min="9" max="9" width="18" customWidth="1"/>
  </cols>
  <sheetData>
    <row r="1" spans="1:9" x14ac:dyDescent="0.3">
      <c r="A1" s="14" t="s">
        <v>483</v>
      </c>
      <c r="B1" s="14" t="s">
        <v>484</v>
      </c>
      <c r="C1" s="14" t="s">
        <v>485</v>
      </c>
      <c r="D1" s="14" t="s">
        <v>486</v>
      </c>
      <c r="E1" s="14" t="s">
        <v>487</v>
      </c>
      <c r="F1" s="14" t="s">
        <v>488</v>
      </c>
      <c r="G1" s="14" t="s">
        <v>489</v>
      </c>
      <c r="H1" s="14" t="s">
        <v>195</v>
      </c>
      <c r="I1" s="14" t="s">
        <v>490</v>
      </c>
    </row>
    <row r="2" spans="1:9" x14ac:dyDescent="0.3">
      <c r="A2" s="2"/>
      <c r="B2" s="2"/>
      <c r="C2" s="2"/>
      <c r="D2" s="2"/>
      <c r="E2" s="2"/>
      <c r="F2" s="2"/>
      <c r="G2" s="2"/>
      <c r="H2" s="2"/>
      <c r="I2" s="2"/>
    </row>
  </sheetData>
  <pageMargins left="0.75" right="0.75" top="1" bottom="1" header="0.5" footer="0.5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rgb="FF7030A0"/>
  </sheetPr>
  <dimension ref="A1:F30"/>
  <sheetViews>
    <sheetView showGridLines="0" topLeftCell="A4" workbookViewId="0">
      <selection activeCell="B19" sqref="B19"/>
    </sheetView>
  </sheetViews>
  <sheetFormatPr defaultRowHeight="14.4" x14ac:dyDescent="0.3"/>
  <cols>
    <col min="1" max="1" width="28" customWidth="1"/>
    <col min="2" max="2" width="20" customWidth="1"/>
  </cols>
  <sheetData>
    <row r="1" spans="1:6" x14ac:dyDescent="0.3">
      <c r="A1" s="59" t="s">
        <v>206</v>
      </c>
      <c r="B1" s="60"/>
      <c r="C1" s="60"/>
      <c r="D1" s="60"/>
      <c r="E1" s="60"/>
      <c r="F1" s="60"/>
    </row>
    <row r="2" spans="1:6" x14ac:dyDescent="0.3">
      <c r="A2" s="60"/>
      <c r="B2" s="60"/>
      <c r="C2" s="60"/>
      <c r="D2" s="60"/>
      <c r="E2" s="60"/>
      <c r="F2" s="60"/>
    </row>
    <row r="3" spans="1:6" ht="16.8" x14ac:dyDescent="0.3">
      <c r="A3" s="58" t="s">
        <v>54</v>
      </c>
      <c r="B3" s="46"/>
      <c r="C3" s="46"/>
      <c r="D3" s="46"/>
      <c r="E3" s="46"/>
      <c r="F3" s="46"/>
    </row>
    <row r="4" spans="1:6" x14ac:dyDescent="0.3">
      <c r="A4" s="57" t="str">
        <f ca="1">"Generated: "&amp;TEXT(TODAY(),"dd mmm yyyy")&amp;"   |   Prepared by: Farmnow Broiler Management System"</f>
        <v>Generated: 12 Aug 2026   |   Prepared by: Farmnow Broiler Management System</v>
      </c>
      <c r="B4" s="46"/>
      <c r="C4" s="46"/>
      <c r="D4" s="46"/>
      <c r="E4" s="46"/>
      <c r="F4" s="46"/>
    </row>
    <row r="6" spans="1:6" x14ac:dyDescent="0.3">
      <c r="A6" s="24" t="s">
        <v>491</v>
      </c>
      <c r="B6" s="25" t="s">
        <v>263</v>
      </c>
    </row>
    <row r="8" spans="1:6" x14ac:dyDescent="0.3">
      <c r="A8" s="26" t="s">
        <v>492</v>
      </c>
      <c r="B8" s="26" t="s">
        <v>204</v>
      </c>
    </row>
    <row r="9" spans="1:6" x14ac:dyDescent="0.3">
      <c r="A9" s="27" t="s">
        <v>9</v>
      </c>
      <c r="B9" s="2" t="str">
        <f>INDEX(calc_KPI_Engine[HouseCode],MATCH($B$6,calc_KPI_Engine[FlockID],0))</f>
        <v>H-02</v>
      </c>
    </row>
    <row r="10" spans="1:6" x14ac:dyDescent="0.3">
      <c r="A10" s="28" t="s">
        <v>10</v>
      </c>
      <c r="B10" s="16" t="str">
        <f>INDEX(calc_KPI_Engine[BreedName],MATCH($B$6,calc_KPI_Engine[FlockID],0))</f>
        <v>Cobb 500</v>
      </c>
    </row>
    <row r="11" spans="1:6" x14ac:dyDescent="0.3">
      <c r="A11" s="27" t="s">
        <v>493</v>
      </c>
      <c r="B11" s="6">
        <f>INDEX(calc_KPI_Engine[PlacedDate],MATCH($B$6,calc_KPI_Engine[FlockID],0))</f>
        <v>46198</v>
      </c>
    </row>
    <row r="12" spans="1:6" x14ac:dyDescent="0.3">
      <c r="A12" s="28" t="s">
        <v>11</v>
      </c>
      <c r="B12" s="16" t="str">
        <f>INDEX(calc_KPI_Engine[Status],MATCH($B$6,calc_KPI_Engine[FlockID],0))</f>
        <v>Active</v>
      </c>
    </row>
    <row r="13" spans="1:6" x14ac:dyDescent="0.3">
      <c r="A13" s="27" t="s">
        <v>12</v>
      </c>
      <c r="B13" s="7">
        <f ca="1">INDEX(calc_KPI_Engine[DaysOnFarm],MATCH($B$6,calc_KPI_Engine[FlockID],0))</f>
        <v>48</v>
      </c>
    </row>
    <row r="14" spans="1:6" x14ac:dyDescent="0.3">
      <c r="A14" s="28" t="s">
        <v>494</v>
      </c>
      <c r="B14" s="29">
        <f>INDEX(calc_KPI_Engine[InitialBirds],MATCH($B$6,calc_KPI_Engine[FlockID],0))</f>
        <v>5000</v>
      </c>
    </row>
    <row r="15" spans="1:6" x14ac:dyDescent="0.3">
      <c r="A15" s="27" t="s">
        <v>495</v>
      </c>
      <c r="B15" s="7">
        <f>INDEX(calc_KPI_Engine[TotalMortality],MATCH($B$6,calc_KPI_Engine[FlockID],0))</f>
        <v>33</v>
      </c>
    </row>
    <row r="16" spans="1:6" x14ac:dyDescent="0.3">
      <c r="A16" s="28" t="s">
        <v>496</v>
      </c>
      <c r="B16" s="29">
        <f>INDEX(calc_KPI_Engine[CurrentBirds],MATCH($B$6,calc_KPI_Engine[FlockID],0))</f>
        <v>4967</v>
      </c>
    </row>
    <row r="17" spans="1:2" x14ac:dyDescent="0.3">
      <c r="A17" s="27" t="s">
        <v>13</v>
      </c>
      <c r="B17" s="12">
        <f>INDEX(calc_KPI_Engine[LivabilityPct],MATCH($B$6,calc_KPI_Engine[FlockID],0))</f>
        <v>0.99339999999999995</v>
      </c>
    </row>
    <row r="18" spans="1:2" x14ac:dyDescent="0.3">
      <c r="A18" s="28" t="s">
        <v>497</v>
      </c>
      <c r="B18" s="29">
        <f>INDEX(calc_KPI_Engine[TotalFeedKg],MATCH($B$6,calc_KPI_Engine[FlockID],0))</f>
        <v>18000</v>
      </c>
    </row>
    <row r="19" spans="1:2" x14ac:dyDescent="0.3">
      <c r="A19" s="27" t="s">
        <v>498</v>
      </c>
      <c r="B19" s="7">
        <f>INDEX(calc_KPI_Engine[LatestAvgWeightG],MATCH($B$6,calc_KPI_Engine[FlockID],0))</f>
        <v>2400</v>
      </c>
    </row>
    <row r="20" spans="1:2" x14ac:dyDescent="0.3">
      <c r="A20" s="28" t="s">
        <v>499</v>
      </c>
      <c r="B20" s="18">
        <f>INDEX(calc_KPI_Engine[FCR],MATCH($B$6,calc_KPI_Engine[FlockID],0))</f>
        <v>1.5099657741091204</v>
      </c>
    </row>
    <row r="21" spans="1:2" x14ac:dyDescent="0.3">
      <c r="A21" s="27" t="s">
        <v>500</v>
      </c>
      <c r="B21" s="9">
        <f ca="1">INDEX(calc_KPI_Engine[ADG_g],MATCH($B$6,calc_KPI_Engine[FlockID],0))</f>
        <v>50</v>
      </c>
    </row>
    <row r="22" spans="1:2" x14ac:dyDescent="0.3">
      <c r="A22" s="28" t="s">
        <v>501</v>
      </c>
      <c r="B22" s="20">
        <f>INDEX(calc_KPI_Engine[TotalFeedCost_ZMW],MATCH($B$6,calc_KPI_Engine[FlockID],0))</f>
        <v>207528</v>
      </c>
    </row>
    <row r="23" spans="1:2" x14ac:dyDescent="0.3">
      <c r="A23" s="27" t="s">
        <v>502</v>
      </c>
      <c r="B23" s="3">
        <f>INDEX(calc_KPI_Engine[MedicineCost_ZMW],MATCH($B$6,calc_KPI_Engine[FlockID],0))</f>
        <v>850</v>
      </c>
    </row>
    <row r="24" spans="1:2" x14ac:dyDescent="0.3">
      <c r="A24" s="28" t="s">
        <v>503</v>
      </c>
      <c r="B24" s="20">
        <f>INDEX(calc_KPI_Engine[TotalExpenses_ZMW],MATCH($B$6,calc_KPI_Engine[FlockID],0))</f>
        <v>28300</v>
      </c>
    </row>
    <row r="25" spans="1:2" x14ac:dyDescent="0.3">
      <c r="A25" s="27" t="s">
        <v>504</v>
      </c>
      <c r="B25" s="3">
        <f>INDEX(calc_KPI_Engine[CostPerBird_ZMW],MATCH($B$6,calc_KPI_Engine[FlockID],0))</f>
        <v>47.335599999999999</v>
      </c>
    </row>
    <row r="26" spans="1:2" x14ac:dyDescent="0.3">
      <c r="A26" s="28" t="s">
        <v>505</v>
      </c>
      <c r="B26" s="20">
        <f>INDEX(calc_KPI_Engine[CostPerKg_ZMW],MATCH($B$6,calc_KPI_Engine[FlockID],0))</f>
        <v>19.854204415811022</v>
      </c>
    </row>
    <row r="27" spans="1:2" x14ac:dyDescent="0.3">
      <c r="A27" s="27" t="s">
        <v>506</v>
      </c>
      <c r="B27" s="3">
        <f>INDEX(calc_KPI_Engine[BreakEvenPricePerBird_ZMW],MATCH($B$6,calc_KPI_Engine[FlockID],0))</f>
        <v>47.335599999999999</v>
      </c>
    </row>
    <row r="28" spans="1:2" x14ac:dyDescent="0.3">
      <c r="A28" s="28" t="s">
        <v>507</v>
      </c>
      <c r="B28" s="20">
        <f>INDEX(calc_KPI_Engine[TotalSalesValue_ZMW],MATCH($B$6,calc_KPI_Engine[FlockID],0))</f>
        <v>0</v>
      </c>
    </row>
    <row r="29" spans="1:2" x14ac:dyDescent="0.3">
      <c r="A29" s="27" t="s">
        <v>508</v>
      </c>
      <c r="B29" s="3">
        <f>INDEX(calc_KPI_Engine[EstimatedProfit_ZMW],MATCH($B$6,calc_KPI_Engine[FlockID],0))</f>
        <v>-236678</v>
      </c>
    </row>
    <row r="30" spans="1:2" x14ac:dyDescent="0.3">
      <c r="A30" s="28" t="s">
        <v>509</v>
      </c>
      <c r="B30" s="18">
        <f>INDEX(mst_Breeds[StandardFCR],MATCH(INDEX(reg_Flocks[BreedID],MATCH($B$6,reg_Flocks[FlockID],0)),mst_Breeds[BreedID],0))</f>
        <v>1.68</v>
      </c>
    </row>
  </sheetData>
  <mergeCells count="3">
    <mergeCell ref="A3:F3"/>
    <mergeCell ref="A4:F4"/>
    <mergeCell ref="A1:F2"/>
  </mergeCells>
  <dataValidations count="1">
    <dataValidation type="list" sqref="B6" xr:uid="{00000000-0002-0000-1600-000000000000}">
      <formula1>FlockID_List</formula1>
    </dataValidation>
  </dataValidations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rgb="FF7030A0"/>
  </sheetPr>
  <dimension ref="A1:J11"/>
  <sheetViews>
    <sheetView showGridLines="0" workbookViewId="0"/>
  </sheetViews>
  <sheetFormatPr defaultRowHeight="14.4" x14ac:dyDescent="0.3"/>
  <cols>
    <col min="1" max="1" width="12" customWidth="1"/>
    <col min="2" max="2" width="10" customWidth="1"/>
    <col min="3" max="3" width="15" customWidth="1"/>
    <col min="4" max="4" width="16" customWidth="1"/>
    <col min="5" max="5" width="17" customWidth="1"/>
    <col min="6" max="7" width="15" customWidth="1"/>
    <col min="8" max="8" width="17" customWidth="1"/>
    <col min="9" max="9" width="14" customWidth="1"/>
    <col min="10" max="10" width="20" customWidth="1"/>
  </cols>
  <sheetData>
    <row r="1" spans="1:10" x14ac:dyDescent="0.3">
      <c r="A1" s="59" t="s">
        <v>206</v>
      </c>
      <c r="B1" s="60"/>
      <c r="C1" s="60"/>
      <c r="D1" s="60"/>
      <c r="E1" s="60"/>
      <c r="F1" s="60"/>
      <c r="G1" s="60"/>
      <c r="H1" s="60"/>
      <c r="I1" s="60"/>
      <c r="J1" s="60"/>
    </row>
    <row r="2" spans="1:10" x14ac:dyDescent="0.3">
      <c r="A2" s="60"/>
      <c r="B2" s="60"/>
      <c r="C2" s="60"/>
      <c r="D2" s="60"/>
      <c r="E2" s="60"/>
      <c r="F2" s="60"/>
      <c r="G2" s="60"/>
      <c r="H2" s="60"/>
      <c r="I2" s="60"/>
      <c r="J2" s="60"/>
    </row>
    <row r="3" spans="1:10" ht="16.8" x14ac:dyDescent="0.3">
      <c r="A3" s="58" t="s">
        <v>510</v>
      </c>
      <c r="B3" s="46"/>
      <c r="C3" s="46"/>
      <c r="D3" s="46"/>
      <c r="E3" s="46"/>
      <c r="F3" s="46"/>
      <c r="G3" s="46"/>
      <c r="H3" s="46"/>
      <c r="I3" s="46"/>
      <c r="J3" s="46"/>
    </row>
    <row r="4" spans="1:10" x14ac:dyDescent="0.3">
      <c r="A4" s="57" t="str">
        <f ca="1">"Generated: "&amp;TEXT(TODAY(),"dd mmm yyyy")&amp;"   |   Prepared by: Farmnow Broiler Management System"</f>
        <v>Generated: 12 Aug 2026   |   Prepared by: Farmnow Broiler Management System</v>
      </c>
      <c r="B4" s="46"/>
      <c r="C4" s="46"/>
      <c r="D4" s="46"/>
      <c r="E4" s="46"/>
      <c r="F4" s="46"/>
      <c r="G4" s="46"/>
      <c r="H4" s="46"/>
      <c r="I4" s="46"/>
      <c r="J4" s="46"/>
    </row>
    <row r="6" spans="1:10" ht="28.05" customHeight="1" x14ac:dyDescent="0.3">
      <c r="A6" s="30" t="s">
        <v>8</v>
      </c>
      <c r="B6" s="30" t="s">
        <v>11</v>
      </c>
      <c r="C6" s="30" t="s">
        <v>511</v>
      </c>
      <c r="D6" s="30" t="s">
        <v>502</v>
      </c>
      <c r="E6" s="30" t="s">
        <v>512</v>
      </c>
      <c r="F6" s="30" t="s">
        <v>513</v>
      </c>
      <c r="G6" s="30" t="s">
        <v>514</v>
      </c>
      <c r="H6" s="30" t="s">
        <v>508</v>
      </c>
      <c r="I6" s="30" t="s">
        <v>504</v>
      </c>
      <c r="J6" s="30" t="s">
        <v>515</v>
      </c>
    </row>
    <row r="7" spans="1:10" x14ac:dyDescent="0.3">
      <c r="A7" s="2" t="str">
        <f>'calc_KPI_Engine'!A2</f>
        <v>FLK-001</v>
      </c>
      <c r="B7" s="2" t="str">
        <f>'calc_KPI_Engine'!E2</f>
        <v>Closed</v>
      </c>
      <c r="C7" s="3">
        <f>'calc_KPI_Engine'!L2</f>
        <v>172940</v>
      </c>
      <c r="D7" s="3">
        <f>'calc_KPI_Engine'!R2</f>
        <v>600</v>
      </c>
      <c r="E7" s="3">
        <f>'calc_KPI_Engine'!Q2</f>
        <v>28850</v>
      </c>
      <c r="F7" s="3">
        <f>'calc_KPI_Engine'!L2+'calc_KPI_Engine'!Q2+'calc_KPI_Engine'!R2</f>
        <v>202390</v>
      </c>
      <c r="G7" s="3">
        <f>'calc_KPI_Engine'!S2</f>
        <v>467412.5</v>
      </c>
      <c r="H7" s="3">
        <f>'calc_KPI_Engine'!W2</f>
        <v>265022.5</v>
      </c>
      <c r="I7" s="3">
        <f>'calc_KPI_Engine'!U2</f>
        <v>40.478000000000002</v>
      </c>
      <c r="J7" s="3">
        <f>'calc_KPI_Engine'!X2</f>
        <v>40.886868686868688</v>
      </c>
    </row>
    <row r="8" spans="1:10" x14ac:dyDescent="0.3">
      <c r="A8" s="16" t="str">
        <f>'calc_KPI_Engine'!A3</f>
        <v>FLK-002</v>
      </c>
      <c r="B8" s="16" t="str">
        <f>'calc_KPI_Engine'!E3</f>
        <v>Active</v>
      </c>
      <c r="C8" s="20">
        <f>'calc_KPI_Engine'!L3</f>
        <v>207528</v>
      </c>
      <c r="D8" s="20">
        <f>'calc_KPI_Engine'!R3</f>
        <v>850</v>
      </c>
      <c r="E8" s="20">
        <f>'calc_KPI_Engine'!Q3</f>
        <v>28300</v>
      </c>
      <c r="F8" s="20">
        <f>'calc_KPI_Engine'!L3+'calc_KPI_Engine'!Q3+'calc_KPI_Engine'!R3</f>
        <v>236678</v>
      </c>
      <c r="G8" s="20">
        <f>'calc_KPI_Engine'!S3</f>
        <v>0</v>
      </c>
      <c r="H8" s="20">
        <f>'calc_KPI_Engine'!W3</f>
        <v>-236678</v>
      </c>
      <c r="I8" s="20">
        <f>'calc_KPI_Engine'!U3</f>
        <v>47.335599999999999</v>
      </c>
      <c r="J8" s="20">
        <f>'calc_KPI_Engine'!X3</f>
        <v>47.335599999999999</v>
      </c>
    </row>
    <row r="9" spans="1:10" x14ac:dyDescent="0.3">
      <c r="A9" s="2" t="str">
        <f>'calc_KPI_Engine'!A4</f>
        <v>FLK-003</v>
      </c>
      <c r="B9" s="2" t="str">
        <f>'calc_KPI_Engine'!E4</f>
        <v>Active</v>
      </c>
      <c r="C9" s="3">
        <f>'calc_KPI_Engine'!L4</f>
        <v>53624.800000000003</v>
      </c>
      <c r="D9" s="3">
        <f>'calc_KPI_Engine'!R4</f>
        <v>0</v>
      </c>
      <c r="E9" s="3">
        <f>'calc_KPI_Engine'!Q4</f>
        <v>21450</v>
      </c>
      <c r="F9" s="3">
        <f>'calc_KPI_Engine'!L4+'calc_KPI_Engine'!Q4+'calc_KPI_Engine'!R4</f>
        <v>75074.8</v>
      </c>
      <c r="G9" s="3">
        <f>'calc_KPI_Engine'!S4</f>
        <v>0</v>
      </c>
      <c r="H9" s="3">
        <f>'calc_KPI_Engine'!W4</f>
        <v>-75074.8</v>
      </c>
      <c r="I9" s="3">
        <f>'calc_KPI_Engine'!U4</f>
        <v>18.768699999999999</v>
      </c>
      <c r="J9" s="3">
        <f>'calc_KPI_Engine'!X4</f>
        <v>18.768699999999999</v>
      </c>
    </row>
    <row r="10" spans="1:10" x14ac:dyDescent="0.3">
      <c r="A10" s="16" t="str">
        <f>'calc_KPI_Engine'!A5</f>
        <v>FLK-004</v>
      </c>
      <c r="B10" s="16" t="str">
        <f>'calc_KPI_Engine'!E5</f>
        <v>Active</v>
      </c>
      <c r="C10" s="20">
        <f>'calc_KPI_Engine'!L5</f>
        <v>7875</v>
      </c>
      <c r="D10" s="20">
        <f>'calc_KPI_Engine'!R5</f>
        <v>0</v>
      </c>
      <c r="E10" s="20">
        <f>'calc_KPI_Engine'!Q5</f>
        <v>24300</v>
      </c>
      <c r="F10" s="20">
        <f>'calc_KPI_Engine'!L5+'calc_KPI_Engine'!Q5+'calc_KPI_Engine'!R5</f>
        <v>32175</v>
      </c>
      <c r="G10" s="20">
        <f>'calc_KPI_Engine'!S5</f>
        <v>0</v>
      </c>
      <c r="H10" s="20">
        <f>'calc_KPI_Engine'!W5</f>
        <v>-32175</v>
      </c>
      <c r="I10" s="20">
        <f>'calc_KPI_Engine'!U5</f>
        <v>6.4349999999999996</v>
      </c>
      <c r="J10" s="20">
        <f>'calc_KPI_Engine'!X5</f>
        <v>6.4349999999999996</v>
      </c>
    </row>
    <row r="11" spans="1:10" x14ac:dyDescent="0.3">
      <c r="A11" s="31" t="s">
        <v>516</v>
      </c>
      <c r="B11" s="32"/>
      <c r="C11" s="33">
        <f t="shared" ref="C11:H11" si="0">SUM(C7:C10)</f>
        <v>441967.8</v>
      </c>
      <c r="D11" s="33">
        <f t="shared" si="0"/>
        <v>1450</v>
      </c>
      <c r="E11" s="33">
        <f t="shared" si="0"/>
        <v>102900</v>
      </c>
      <c r="F11" s="33">
        <f t="shared" si="0"/>
        <v>546317.80000000005</v>
      </c>
      <c r="G11" s="33">
        <f t="shared" si="0"/>
        <v>467412.5</v>
      </c>
      <c r="H11" s="33">
        <f t="shared" si="0"/>
        <v>-78905.3</v>
      </c>
      <c r="I11" s="33">
        <f>AVERAGE(I7:I10)</f>
        <v>28.254325000000001</v>
      </c>
      <c r="J11" s="33">
        <f>AVERAGE(J7:J10)</f>
        <v>28.356542171717173</v>
      </c>
    </row>
  </sheetData>
  <mergeCells count="3">
    <mergeCell ref="A4:J4"/>
    <mergeCell ref="A1:J2"/>
    <mergeCell ref="A3:J3"/>
  </mergeCells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rgb="FF7030A0"/>
  </sheetPr>
  <dimension ref="A1:F30"/>
  <sheetViews>
    <sheetView showGridLines="0" workbookViewId="0"/>
  </sheetViews>
  <sheetFormatPr defaultRowHeight="14.4" x14ac:dyDescent="0.3"/>
  <cols>
    <col min="1" max="1" width="16" customWidth="1"/>
    <col min="2" max="2" width="30" customWidth="1"/>
    <col min="3" max="3" width="24" customWidth="1"/>
    <col min="4" max="4" width="16" customWidth="1"/>
  </cols>
  <sheetData>
    <row r="1" spans="1:6" x14ac:dyDescent="0.3">
      <c r="A1" s="59" t="s">
        <v>206</v>
      </c>
      <c r="B1" s="60"/>
      <c r="C1" s="60"/>
      <c r="D1" s="60"/>
      <c r="E1" s="60"/>
      <c r="F1" s="60"/>
    </row>
    <row r="2" spans="1:6" x14ac:dyDescent="0.3">
      <c r="A2" s="60"/>
      <c r="B2" s="60"/>
      <c r="C2" s="60"/>
      <c r="D2" s="60"/>
      <c r="E2" s="60"/>
      <c r="F2" s="60"/>
    </row>
    <row r="3" spans="1:6" ht="16.8" x14ac:dyDescent="0.3">
      <c r="A3" s="58" t="s">
        <v>60</v>
      </c>
      <c r="B3" s="46"/>
      <c r="C3" s="46"/>
      <c r="D3" s="46"/>
      <c r="E3" s="46"/>
      <c r="F3" s="46"/>
    </row>
    <row r="4" spans="1:6" x14ac:dyDescent="0.3">
      <c r="A4" s="57" t="str">
        <f ca="1">"Generated: "&amp;TEXT(TODAY(),"dd mmm yyyy")&amp;"   |   Prepared by: Farmnow Broiler Management System"</f>
        <v>Generated: 12 Aug 2026   |   Prepared by: Farmnow Broiler Management System</v>
      </c>
      <c r="B4" s="46"/>
      <c r="C4" s="46"/>
      <c r="D4" s="46"/>
      <c r="E4" s="46"/>
      <c r="F4" s="46"/>
    </row>
    <row r="6" spans="1:6" x14ac:dyDescent="0.3">
      <c r="A6" s="24" t="s">
        <v>491</v>
      </c>
      <c r="B6" s="25" t="s">
        <v>261</v>
      </c>
    </row>
    <row r="8" spans="1:6" x14ac:dyDescent="0.3">
      <c r="A8" s="24" t="s">
        <v>517</v>
      </c>
      <c r="B8" s="34">
        <f>INDEX(reg_Flocks[PlacedDate],MATCH($B$6,reg_Flocks[FlockID],0))</f>
        <v>46162</v>
      </c>
    </row>
    <row r="9" spans="1:6" x14ac:dyDescent="0.3">
      <c r="A9" s="24" t="s">
        <v>518</v>
      </c>
      <c r="B9" s="35">
        <f>INDEX(calc_KPI_Engine[TotalMortality],MATCH($B$6,calc_KPI_Engine[FlockID],0))</f>
        <v>29</v>
      </c>
    </row>
    <row r="10" spans="1:6" x14ac:dyDescent="0.3">
      <c r="A10" s="24" t="s">
        <v>519</v>
      </c>
      <c r="B10" s="36">
        <f>INDEX(calc_KPI_Engine[LivabilityPct],MATCH($B$6,calc_KPI_Engine[FlockID],0))</f>
        <v>0.99419999999999997</v>
      </c>
    </row>
    <row r="12" spans="1:6" ht="25.95" customHeight="1" x14ac:dyDescent="0.3">
      <c r="A12" s="37" t="s">
        <v>520</v>
      </c>
      <c r="B12" s="37" t="s">
        <v>521</v>
      </c>
      <c r="C12" s="37" t="s">
        <v>522</v>
      </c>
      <c r="D12" s="37" t="s">
        <v>523</v>
      </c>
    </row>
    <row r="13" spans="1:6" x14ac:dyDescent="0.3">
      <c r="A13" s="2">
        <v>1</v>
      </c>
      <c r="B13" s="2" t="str">
        <f>TEXT(($B$8+0),"dd mmm")&amp;" - "&amp;TEXT(($B$8+6),"dd mmm")</f>
        <v>20 May - 26 May</v>
      </c>
      <c r="C13" s="38">
        <f>SUMIFS(reg_DailyMortality[MortalityCount],reg_DailyMortality[FlockID],$B$6,reg_DailyMortality[Date],"&gt;="&amp;($B$8+0),reg_DailyMortality[Date],"&lt;="&amp;($B$8+6))</f>
        <v>15</v>
      </c>
      <c r="D13" s="38">
        <f>SUMIFS(reg_DailyMortality[MortalityCount],reg_DailyMortality[FlockID],$B$6,reg_DailyMortality[Date],"&lt;="&amp;($B$8+6))</f>
        <v>15</v>
      </c>
    </row>
    <row r="14" spans="1:6" x14ac:dyDescent="0.3">
      <c r="A14" s="16">
        <v>2</v>
      </c>
      <c r="B14" s="16" t="str">
        <f>TEXT(($B$8+7),"dd mmm")&amp;" - "&amp;TEXT(($B$8+13),"dd mmm")</f>
        <v>27 May - 02 Jun</v>
      </c>
      <c r="C14" s="39">
        <f>SUMIFS(reg_DailyMortality[MortalityCount],reg_DailyMortality[FlockID],$B$6,reg_DailyMortality[Date],"&gt;="&amp;($B$8+7),reg_DailyMortality[Date],"&lt;="&amp;($B$8+13))</f>
        <v>4</v>
      </c>
      <c r="D14" s="39">
        <f>SUMIFS(reg_DailyMortality[MortalityCount],reg_DailyMortality[FlockID],$B$6,reg_DailyMortality[Date],"&lt;="&amp;($B$8+13))</f>
        <v>19</v>
      </c>
    </row>
    <row r="15" spans="1:6" x14ac:dyDescent="0.3">
      <c r="A15" s="2">
        <v>3</v>
      </c>
      <c r="B15" s="2" t="str">
        <f>TEXT(($B$8+14),"dd mmm")&amp;" - "&amp;TEXT(($B$8+20),"dd mmm")</f>
        <v>03 Jun - 09 Jun</v>
      </c>
      <c r="C15" s="38">
        <f>SUMIFS(reg_DailyMortality[MortalityCount],reg_DailyMortality[FlockID],$B$6,reg_DailyMortality[Date],"&gt;="&amp;($B$8+14),reg_DailyMortality[Date],"&lt;="&amp;($B$8+20))</f>
        <v>3</v>
      </c>
      <c r="D15" s="38">
        <f>SUMIFS(reg_DailyMortality[MortalityCount],reg_DailyMortality[FlockID],$B$6,reg_DailyMortality[Date],"&lt;="&amp;($B$8+20))</f>
        <v>22</v>
      </c>
    </row>
    <row r="16" spans="1:6" x14ac:dyDescent="0.3">
      <c r="A16" s="16">
        <v>4</v>
      </c>
      <c r="B16" s="16" t="str">
        <f>TEXT(($B$8+21),"dd mmm")&amp;" - "&amp;TEXT(($B$8+27),"dd mmm")</f>
        <v>10 Jun - 16 Jun</v>
      </c>
      <c r="C16" s="39">
        <f>SUMIFS(reg_DailyMortality[MortalityCount],reg_DailyMortality[FlockID],$B$6,reg_DailyMortality[Date],"&gt;="&amp;($B$8+21),reg_DailyMortality[Date],"&lt;="&amp;($B$8+27))</f>
        <v>2</v>
      </c>
      <c r="D16" s="39">
        <f>SUMIFS(reg_DailyMortality[MortalityCount],reg_DailyMortality[FlockID],$B$6,reg_DailyMortality[Date],"&lt;="&amp;($B$8+27))</f>
        <v>24</v>
      </c>
    </row>
    <row r="17" spans="1:4" x14ac:dyDescent="0.3">
      <c r="A17" s="2">
        <v>5</v>
      </c>
      <c r="B17" s="2" t="str">
        <f>TEXT(($B$8+28),"dd mmm")&amp;" - "&amp;TEXT(($B$8+34),"dd mmm")</f>
        <v>17 Jun - 23 Jun</v>
      </c>
      <c r="C17" s="38">
        <f>SUMIFS(reg_DailyMortality[MortalityCount],reg_DailyMortality[FlockID],$B$6,reg_DailyMortality[Date],"&gt;="&amp;($B$8+28),reg_DailyMortality[Date],"&lt;="&amp;($B$8+34))</f>
        <v>2</v>
      </c>
      <c r="D17" s="38">
        <f>SUMIFS(reg_DailyMortality[MortalityCount],reg_DailyMortality[FlockID],$B$6,reg_DailyMortality[Date],"&lt;="&amp;($B$8+34))</f>
        <v>26</v>
      </c>
    </row>
    <row r="18" spans="1:4" x14ac:dyDescent="0.3">
      <c r="A18" s="16">
        <v>6</v>
      </c>
      <c r="B18" s="16" t="str">
        <f>TEXT(($B$8+35),"dd mmm")&amp;" - "&amp;TEXT(($B$8+41),"dd mmm")</f>
        <v>24 Jun - 30 Jun</v>
      </c>
      <c r="C18" s="39">
        <f>SUMIFS(reg_DailyMortality[MortalityCount],reg_DailyMortality[FlockID],$B$6,reg_DailyMortality[Date],"&gt;="&amp;($B$8+35),reg_DailyMortality[Date],"&lt;="&amp;($B$8+41))</f>
        <v>3</v>
      </c>
      <c r="D18" s="39">
        <f>SUMIFS(reg_DailyMortality[MortalityCount],reg_DailyMortality[FlockID],$B$6,reg_DailyMortality[Date],"&lt;="&amp;($B$8+41))</f>
        <v>29</v>
      </c>
    </row>
    <row r="19" spans="1:4" x14ac:dyDescent="0.3">
      <c r="A19" s="2">
        <v>7</v>
      </c>
      <c r="B19" s="2" t="str">
        <f>TEXT(($B$8+42),"dd mmm")&amp;" - "&amp;TEXT(($B$8+48),"dd mmm")</f>
        <v>01 Jul - 07 Jul</v>
      </c>
      <c r="C19" s="38">
        <f>SUMIFS(reg_DailyMortality[MortalityCount],reg_DailyMortality[FlockID],$B$6,reg_DailyMortality[Date],"&gt;="&amp;($B$8+42),reg_DailyMortality[Date],"&lt;="&amp;($B$8+48))</f>
        <v>0</v>
      </c>
      <c r="D19" s="38">
        <f>SUMIFS(reg_DailyMortality[MortalityCount],reg_DailyMortality[FlockID],$B$6,reg_DailyMortality[Date],"&lt;="&amp;($B$8+48))</f>
        <v>29</v>
      </c>
    </row>
    <row r="20" spans="1:4" x14ac:dyDescent="0.3">
      <c r="A20" s="16">
        <v>8</v>
      </c>
      <c r="B20" s="16" t="str">
        <f>TEXT(($B$8+49),"dd mmm")&amp;" - "&amp;TEXT(($B$8+55),"dd mmm")</f>
        <v>08 Jul - 14 Jul</v>
      </c>
      <c r="C20" s="39">
        <f>SUMIFS(reg_DailyMortality[MortalityCount],reg_DailyMortality[FlockID],$B$6,reg_DailyMortality[Date],"&gt;="&amp;($B$8+49),reg_DailyMortality[Date],"&lt;="&amp;($B$8+55))</f>
        <v>0</v>
      </c>
      <c r="D20" s="39">
        <f>SUMIFS(reg_DailyMortality[MortalityCount],reg_DailyMortality[FlockID],$B$6,reg_DailyMortality[Date],"&lt;="&amp;($B$8+55))</f>
        <v>29</v>
      </c>
    </row>
    <row r="23" spans="1:4" ht="15.6" x14ac:dyDescent="0.3">
      <c r="A23" s="45" t="s">
        <v>524</v>
      </c>
      <c r="B23" s="46"/>
      <c r="C23" s="46"/>
      <c r="D23" s="46"/>
    </row>
    <row r="24" spans="1:4" x14ac:dyDescent="0.3">
      <c r="A24" s="26" t="s">
        <v>267</v>
      </c>
      <c r="B24" s="26" t="s">
        <v>525</v>
      </c>
      <c r="C24" s="26" t="s">
        <v>526</v>
      </c>
      <c r="D24" s="26" t="s">
        <v>356</v>
      </c>
    </row>
    <row r="25" spans="1:4" x14ac:dyDescent="0.3">
      <c r="A25" s="6">
        <f>IFERROR(INDEX(reg_Vaccination_Health[Date],MATCH($B$6&amp;"-"&amp;1,reg_Vaccination_Health[CompositeKey],0)),"")</f>
        <v>46163</v>
      </c>
      <c r="B25" s="2" t="str">
        <f>IFERROR(INDEX(mst_Vaccines_Meds[ProductName],MATCH(INDEX(reg_Vaccination_Health[ProductID],MATCH($B$6&amp;"-"&amp;1,reg_Vaccination_Health[CompositeKey],0)),mst_Vaccines_Meds[ProductID],0)),"")</f>
        <v>Newcastle Disease Vaccine (Lasota)</v>
      </c>
      <c r="C25" s="2" t="str">
        <f>IFERROR(INDEX(reg_Vaccination_Health[DosageGiven],MATCH($B$6&amp;"-"&amp;1,reg_Vaccination_Health[CompositeKey],0)),"")</f>
        <v>1 drop/bird</v>
      </c>
      <c r="D25" s="2" t="str">
        <f>IFERROR(INDEX(reg_Vaccination_Health[Route],MATCH($B$6&amp;"-"&amp;1,reg_Vaccination_Health[CompositeKey],0)),"")</f>
        <v>Eye Drop</v>
      </c>
    </row>
    <row r="26" spans="1:4" x14ac:dyDescent="0.3">
      <c r="A26" s="40">
        <f>IFERROR(INDEX(reg_Vaccination_Health[Date],MATCH($B$6&amp;"-"&amp;2,reg_Vaccination_Health[CompositeKey],0)),"")</f>
        <v>46176</v>
      </c>
      <c r="B26" s="16" t="str">
        <f>IFERROR(INDEX(mst_Vaccines_Meds[ProductName],MATCH(INDEX(reg_Vaccination_Health[ProductID],MATCH($B$6&amp;"-"&amp;2,reg_Vaccination_Health[CompositeKey],0)),mst_Vaccines_Meds[ProductID],0)),"")</f>
        <v>Gumboro Vaccine (IBD)</v>
      </c>
      <c r="C26" s="16" t="str">
        <f>IFERROR(INDEX(reg_Vaccination_Health[DosageGiven],MATCH($B$6&amp;"-"&amp;2,reg_Vaccination_Health[CompositeKey],0)),"")</f>
        <v>Per label / 1000 birds</v>
      </c>
      <c r="D26" s="16" t="str">
        <f>IFERROR(INDEX(reg_Vaccination_Health[Route],MATCH($B$6&amp;"-"&amp;2,reg_Vaccination_Health[CompositeKey],0)),"")</f>
        <v>Drinking Water</v>
      </c>
    </row>
    <row r="27" spans="1:4" x14ac:dyDescent="0.3">
      <c r="A27" s="6">
        <f>IFERROR(INDEX(reg_Vaccination_Health[Date],MATCH($B$6&amp;"-"&amp;3,reg_Vaccination_Health[CompositeKey],0)),"")</f>
        <v>46164</v>
      </c>
      <c r="B27" s="2" t="str">
        <f>IFERROR(INDEX(mst_Vaccines_Meds[ProductName],MATCH(INDEX(reg_Vaccination_Health[ProductID],MATCH($B$6&amp;"-"&amp;3,reg_Vaccination_Health[CompositeKey],0)),mst_Vaccines_Meds[ProductID],0)),"")</f>
        <v>Multivitamin Booster</v>
      </c>
      <c r="C27" s="2" t="str">
        <f>IFERROR(INDEX(reg_Vaccination_Health[DosageGiven],MATCH($B$6&amp;"-"&amp;3,reg_Vaccination_Health[CompositeKey],0)),"")</f>
        <v>1 ml/L water</v>
      </c>
      <c r="D27" s="2" t="str">
        <f>IFERROR(INDEX(reg_Vaccination_Health[Route],MATCH($B$6&amp;"-"&amp;3,reg_Vaccination_Health[CompositeKey],0)),"")</f>
        <v>Drinking Water</v>
      </c>
    </row>
    <row r="28" spans="1:4" x14ac:dyDescent="0.3">
      <c r="A28" s="40" t="str">
        <f>IFERROR(INDEX(reg_Vaccination_Health[Date],MATCH($B$6&amp;"-"&amp;4,reg_Vaccination_Health[CompositeKey],0)),"")</f>
        <v/>
      </c>
      <c r="B28" s="16" t="str">
        <f>IFERROR(INDEX(mst_Vaccines_Meds[ProductName],MATCH(INDEX(reg_Vaccination_Health[ProductID],MATCH($B$6&amp;"-"&amp;4,reg_Vaccination_Health[CompositeKey],0)),mst_Vaccines_Meds[ProductID],0)),"")</f>
        <v/>
      </c>
      <c r="C28" s="16" t="str">
        <f>IFERROR(INDEX(reg_Vaccination_Health[DosageGiven],MATCH($B$6&amp;"-"&amp;4,reg_Vaccination_Health[CompositeKey],0)),"")</f>
        <v/>
      </c>
      <c r="D28" s="16" t="str">
        <f>IFERROR(INDEX(reg_Vaccination_Health[Route],MATCH($B$6&amp;"-"&amp;4,reg_Vaccination_Health[CompositeKey],0)),"")</f>
        <v/>
      </c>
    </row>
    <row r="29" spans="1:4" x14ac:dyDescent="0.3">
      <c r="A29" s="6" t="str">
        <f>IFERROR(INDEX(reg_Vaccination_Health[Date],MATCH($B$6&amp;"-"&amp;5,reg_Vaccination_Health[CompositeKey],0)),"")</f>
        <v/>
      </c>
      <c r="B29" s="2" t="str">
        <f>IFERROR(INDEX(mst_Vaccines_Meds[ProductName],MATCH(INDEX(reg_Vaccination_Health[ProductID],MATCH($B$6&amp;"-"&amp;5,reg_Vaccination_Health[CompositeKey],0)),mst_Vaccines_Meds[ProductID],0)),"")</f>
        <v/>
      </c>
      <c r="C29" s="2" t="str">
        <f>IFERROR(INDEX(reg_Vaccination_Health[DosageGiven],MATCH($B$6&amp;"-"&amp;5,reg_Vaccination_Health[CompositeKey],0)),"")</f>
        <v/>
      </c>
      <c r="D29" s="2" t="str">
        <f>IFERROR(INDEX(reg_Vaccination_Health[Route],MATCH($B$6&amp;"-"&amp;5,reg_Vaccination_Health[CompositeKey],0)),"")</f>
        <v/>
      </c>
    </row>
    <row r="30" spans="1:4" x14ac:dyDescent="0.3">
      <c r="A30" s="40" t="str">
        <f>IFERROR(INDEX(reg_Vaccination_Health[Date],MATCH($B$6&amp;"-"&amp;6,reg_Vaccination_Health[CompositeKey],0)),"")</f>
        <v/>
      </c>
      <c r="B30" s="16" t="str">
        <f>IFERROR(INDEX(mst_Vaccines_Meds[ProductName],MATCH(INDEX(reg_Vaccination_Health[ProductID],MATCH($B$6&amp;"-"&amp;6,reg_Vaccination_Health[CompositeKey],0)),mst_Vaccines_Meds[ProductID],0)),"")</f>
        <v/>
      </c>
      <c r="C30" s="16" t="str">
        <f>IFERROR(INDEX(reg_Vaccination_Health[DosageGiven],MATCH($B$6&amp;"-"&amp;6,reg_Vaccination_Health[CompositeKey],0)),"")</f>
        <v/>
      </c>
      <c r="D30" s="16" t="str">
        <f>IFERROR(INDEX(reg_Vaccination_Health[Route],MATCH($B$6&amp;"-"&amp;6,reg_Vaccination_Health[CompositeKey],0)),"")</f>
        <v/>
      </c>
    </row>
  </sheetData>
  <mergeCells count="4">
    <mergeCell ref="A3:F3"/>
    <mergeCell ref="A23:D23"/>
    <mergeCell ref="A4:F4"/>
    <mergeCell ref="A1:F2"/>
  </mergeCells>
  <dataValidations count="1">
    <dataValidation type="list" sqref="B6" xr:uid="{00000000-0002-0000-1800-000000000000}">
      <formula1>FlockID_List</formula1>
    </dataValidation>
  </dataValidations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tabColor rgb="FF808080"/>
  </sheetPr>
  <dimension ref="A1:H6"/>
  <sheetViews>
    <sheetView showGridLines="0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2" customWidth="1"/>
    <col min="2" max="4" width="18" customWidth="1"/>
    <col min="5" max="7" width="14" customWidth="1"/>
    <col min="8" max="8" width="10" customWidth="1"/>
  </cols>
  <sheetData>
    <row r="1" spans="1:8" x14ac:dyDescent="0.3">
      <c r="A1" s="1" t="s">
        <v>527</v>
      </c>
      <c r="B1" s="1" t="s">
        <v>528</v>
      </c>
      <c r="C1" s="1" t="s">
        <v>529</v>
      </c>
      <c r="D1" s="1" t="s">
        <v>530</v>
      </c>
      <c r="E1" s="1" t="s">
        <v>531</v>
      </c>
      <c r="F1" s="1" t="s">
        <v>532</v>
      </c>
      <c r="G1" s="1" t="s">
        <v>533</v>
      </c>
      <c r="H1" s="1" t="s">
        <v>11</v>
      </c>
    </row>
    <row r="2" spans="1:8" x14ac:dyDescent="0.3">
      <c r="A2" s="2">
        <v>1</v>
      </c>
      <c r="B2" s="2" t="s">
        <v>534</v>
      </c>
      <c r="C2" s="2" t="s">
        <v>535</v>
      </c>
      <c r="D2" s="2" t="s">
        <v>536</v>
      </c>
      <c r="E2" s="2" t="s">
        <v>537</v>
      </c>
      <c r="F2" s="6">
        <v>45352</v>
      </c>
      <c r="G2" s="3">
        <v>6500</v>
      </c>
      <c r="H2" s="2" t="s">
        <v>114</v>
      </c>
    </row>
    <row r="3" spans="1:8" x14ac:dyDescent="0.3">
      <c r="A3" s="2">
        <v>2</v>
      </c>
      <c r="B3" s="2" t="s">
        <v>201</v>
      </c>
      <c r="C3" s="2" t="s">
        <v>202</v>
      </c>
      <c r="D3" s="2" t="s">
        <v>538</v>
      </c>
      <c r="E3" s="2" t="s">
        <v>539</v>
      </c>
      <c r="F3" s="6">
        <v>45698</v>
      </c>
      <c r="G3" s="3">
        <v>2800</v>
      </c>
      <c r="H3" s="2" t="s">
        <v>114</v>
      </c>
    </row>
    <row r="4" spans="1:8" x14ac:dyDescent="0.3">
      <c r="A4" s="2">
        <v>3</v>
      </c>
      <c r="B4" s="2" t="s">
        <v>199</v>
      </c>
      <c r="C4" s="2" t="s">
        <v>200</v>
      </c>
      <c r="D4" s="2" t="s">
        <v>540</v>
      </c>
      <c r="E4" s="2" t="s">
        <v>541</v>
      </c>
      <c r="F4" s="6">
        <v>45519</v>
      </c>
      <c r="G4" s="3">
        <v>4200</v>
      </c>
      <c r="H4" s="2" t="s">
        <v>114</v>
      </c>
    </row>
    <row r="5" spans="1:8" x14ac:dyDescent="0.3">
      <c r="A5" s="2">
        <v>4</v>
      </c>
      <c r="B5" s="2" t="s">
        <v>542</v>
      </c>
      <c r="C5" s="2" t="s">
        <v>543</v>
      </c>
      <c r="D5" s="2" t="s">
        <v>544</v>
      </c>
      <c r="E5" s="2" t="s">
        <v>545</v>
      </c>
      <c r="F5" s="6">
        <v>45778</v>
      </c>
      <c r="G5" s="3">
        <v>2200</v>
      </c>
      <c r="H5" s="2" t="s">
        <v>114</v>
      </c>
    </row>
    <row r="6" spans="1:8" x14ac:dyDescent="0.3">
      <c r="A6" s="2">
        <v>5</v>
      </c>
      <c r="B6" s="2" t="s">
        <v>460</v>
      </c>
      <c r="C6" s="2" t="s">
        <v>543</v>
      </c>
      <c r="D6" s="2" t="s">
        <v>546</v>
      </c>
      <c r="E6" s="2" t="s">
        <v>547</v>
      </c>
      <c r="F6" s="6">
        <v>45828</v>
      </c>
      <c r="G6" s="3">
        <v>2200</v>
      </c>
      <c r="H6" s="2" t="s">
        <v>114</v>
      </c>
    </row>
  </sheetData>
  <pageMargins left="0.75" right="0.75" top="1" bottom="1" header="0.5" footer="0.5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>
    <tabColor rgb="FF548235"/>
  </sheetPr>
  <dimension ref="A1:N43"/>
  <sheetViews>
    <sheetView showGridLines="0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2" customWidth="1"/>
    <col min="2" max="2" width="10" customWidth="1"/>
    <col min="3" max="3" width="12" customWidth="1"/>
    <col min="4" max="9" width="14" customWidth="1"/>
    <col min="10" max="10" width="12" customWidth="1"/>
    <col min="11" max="11" width="16" customWidth="1"/>
    <col min="12" max="12" width="12" customWidth="1"/>
    <col min="13" max="13" width="30" customWidth="1"/>
    <col min="14" max="14" width="10" customWidth="1"/>
  </cols>
  <sheetData>
    <row r="1" spans="1:14" ht="26.4" x14ac:dyDescent="0.3">
      <c r="A1" s="5" t="s">
        <v>266</v>
      </c>
      <c r="B1" s="5" t="s">
        <v>257</v>
      </c>
      <c r="C1" s="5" t="s">
        <v>267</v>
      </c>
      <c r="D1" s="5" t="s">
        <v>426</v>
      </c>
      <c r="E1" s="5" t="s">
        <v>427</v>
      </c>
      <c r="F1" s="5" t="s">
        <v>548</v>
      </c>
      <c r="G1" s="5" t="s">
        <v>549</v>
      </c>
      <c r="H1" s="5" t="s">
        <v>550</v>
      </c>
      <c r="I1" s="5" t="s">
        <v>222</v>
      </c>
      <c r="J1" s="5" t="s">
        <v>223</v>
      </c>
      <c r="K1" s="5" t="s">
        <v>551</v>
      </c>
      <c r="L1" s="5" t="s">
        <v>527</v>
      </c>
      <c r="M1" s="5" t="s">
        <v>552</v>
      </c>
      <c r="N1" s="5" t="s">
        <v>272</v>
      </c>
    </row>
    <row r="2" spans="1:14" x14ac:dyDescent="0.3">
      <c r="A2" s="2" t="s">
        <v>553</v>
      </c>
      <c r="B2" s="2" t="s">
        <v>261</v>
      </c>
      <c r="C2" s="6">
        <v>46162</v>
      </c>
      <c r="D2" s="9">
        <v>32</v>
      </c>
      <c r="E2" s="10">
        <v>62</v>
      </c>
      <c r="F2" s="2" t="s">
        <v>231</v>
      </c>
      <c r="G2" s="2" t="s">
        <v>231</v>
      </c>
      <c r="H2" s="2" t="s">
        <v>237</v>
      </c>
      <c r="I2" s="2" t="s">
        <v>235</v>
      </c>
      <c r="J2" s="2" t="s">
        <v>236</v>
      </c>
      <c r="K2" s="7">
        <v>1</v>
      </c>
      <c r="L2" s="2">
        <v>2</v>
      </c>
      <c r="M2" s="2" t="s">
        <v>554</v>
      </c>
      <c r="N2" s="2" t="s">
        <v>231</v>
      </c>
    </row>
    <row r="3" spans="1:14" x14ac:dyDescent="0.3">
      <c r="A3" s="2" t="s">
        <v>555</v>
      </c>
      <c r="B3" s="2" t="s">
        <v>261</v>
      </c>
      <c r="C3" s="6">
        <v>46165</v>
      </c>
      <c r="D3" s="9">
        <v>31.6</v>
      </c>
      <c r="E3" s="10">
        <v>60</v>
      </c>
      <c r="F3" s="2" t="s">
        <v>231</v>
      </c>
      <c r="G3" s="2" t="s">
        <v>231</v>
      </c>
      <c r="H3" s="2" t="s">
        <v>231</v>
      </c>
      <c r="I3" s="2" t="s">
        <v>229</v>
      </c>
      <c r="J3" s="2" t="s">
        <v>230</v>
      </c>
      <c r="K3" s="7">
        <v>0</v>
      </c>
      <c r="L3" s="2">
        <v>4</v>
      </c>
      <c r="M3" s="2" t="s">
        <v>556</v>
      </c>
      <c r="N3" s="2" t="s">
        <v>231</v>
      </c>
    </row>
    <row r="4" spans="1:14" x14ac:dyDescent="0.3">
      <c r="A4" s="2" t="s">
        <v>557</v>
      </c>
      <c r="B4" s="2" t="s">
        <v>261</v>
      </c>
      <c r="C4" s="6">
        <v>46168</v>
      </c>
      <c r="D4" s="9">
        <v>31.1</v>
      </c>
      <c r="E4" s="10">
        <v>62</v>
      </c>
      <c r="F4" s="2" t="s">
        <v>231</v>
      </c>
      <c r="G4" s="2" t="s">
        <v>231</v>
      </c>
      <c r="H4" s="2" t="s">
        <v>231</v>
      </c>
      <c r="I4" s="2" t="s">
        <v>229</v>
      </c>
      <c r="J4" s="2" t="s">
        <v>230</v>
      </c>
      <c r="K4" s="7">
        <v>0</v>
      </c>
      <c r="L4" s="2">
        <v>4</v>
      </c>
      <c r="M4" s="2" t="s">
        <v>556</v>
      </c>
      <c r="N4" s="2" t="s">
        <v>231</v>
      </c>
    </row>
    <row r="5" spans="1:14" x14ac:dyDescent="0.3">
      <c r="A5" s="2" t="s">
        <v>558</v>
      </c>
      <c r="B5" s="2" t="s">
        <v>261</v>
      </c>
      <c r="C5" s="6">
        <v>46171</v>
      </c>
      <c r="D5" s="9">
        <v>30.6</v>
      </c>
      <c r="E5" s="10">
        <v>60</v>
      </c>
      <c r="F5" s="2" t="s">
        <v>231</v>
      </c>
      <c r="G5" s="2" t="s">
        <v>231</v>
      </c>
      <c r="H5" s="2" t="s">
        <v>231</v>
      </c>
      <c r="I5" s="2" t="s">
        <v>229</v>
      </c>
      <c r="J5" s="2" t="s">
        <v>230</v>
      </c>
      <c r="K5" s="7">
        <v>0</v>
      </c>
      <c r="L5" s="2">
        <v>2</v>
      </c>
      <c r="M5" s="2" t="s">
        <v>556</v>
      </c>
      <c r="N5" s="2" t="s">
        <v>231</v>
      </c>
    </row>
    <row r="6" spans="1:14" x14ac:dyDescent="0.3">
      <c r="A6" s="2" t="s">
        <v>559</v>
      </c>
      <c r="B6" s="2" t="s">
        <v>261</v>
      </c>
      <c r="C6" s="6">
        <v>46174</v>
      </c>
      <c r="D6" s="9">
        <v>30.2</v>
      </c>
      <c r="E6" s="10">
        <v>62</v>
      </c>
      <c r="F6" s="2" t="s">
        <v>231</v>
      </c>
      <c r="G6" s="2" t="s">
        <v>231</v>
      </c>
      <c r="H6" s="2" t="s">
        <v>237</v>
      </c>
      <c r="I6" s="2" t="s">
        <v>229</v>
      </c>
      <c r="J6" s="2" t="s">
        <v>230</v>
      </c>
      <c r="K6" s="7">
        <v>1</v>
      </c>
      <c r="L6" s="2">
        <v>4</v>
      </c>
      <c r="M6" s="2" t="s">
        <v>554</v>
      </c>
      <c r="N6" s="2" t="s">
        <v>231</v>
      </c>
    </row>
    <row r="7" spans="1:14" x14ac:dyDescent="0.3">
      <c r="A7" s="2" t="s">
        <v>560</v>
      </c>
      <c r="B7" s="2" t="s">
        <v>261</v>
      </c>
      <c r="C7" s="6">
        <v>46177</v>
      </c>
      <c r="D7" s="9">
        <v>29.8</v>
      </c>
      <c r="E7" s="10">
        <v>60</v>
      </c>
      <c r="F7" s="2" t="s">
        <v>231</v>
      </c>
      <c r="G7" s="2" t="s">
        <v>231</v>
      </c>
      <c r="H7" s="2" t="s">
        <v>231</v>
      </c>
      <c r="I7" s="2" t="s">
        <v>235</v>
      </c>
      <c r="J7" s="2" t="s">
        <v>230</v>
      </c>
      <c r="K7" s="7">
        <v>0</v>
      </c>
      <c r="L7" s="2">
        <v>4</v>
      </c>
      <c r="M7" s="2" t="s">
        <v>556</v>
      </c>
      <c r="N7" s="2" t="s">
        <v>231</v>
      </c>
    </row>
    <row r="8" spans="1:14" x14ac:dyDescent="0.3">
      <c r="A8" s="2" t="s">
        <v>561</v>
      </c>
      <c r="B8" s="2" t="s">
        <v>261</v>
      </c>
      <c r="C8" s="6">
        <v>46180</v>
      </c>
      <c r="D8" s="9">
        <v>29.3</v>
      </c>
      <c r="E8" s="10">
        <v>62</v>
      </c>
      <c r="F8" s="2" t="s">
        <v>231</v>
      </c>
      <c r="G8" s="2" t="s">
        <v>231</v>
      </c>
      <c r="H8" s="2" t="s">
        <v>231</v>
      </c>
      <c r="I8" s="2" t="s">
        <v>229</v>
      </c>
      <c r="J8" s="2" t="s">
        <v>236</v>
      </c>
      <c r="K8" s="7">
        <v>0</v>
      </c>
      <c r="L8" s="2">
        <v>2</v>
      </c>
      <c r="M8" s="2" t="s">
        <v>556</v>
      </c>
      <c r="N8" s="2" t="s">
        <v>231</v>
      </c>
    </row>
    <row r="9" spans="1:14" x14ac:dyDescent="0.3">
      <c r="A9" s="2" t="s">
        <v>562</v>
      </c>
      <c r="B9" s="2" t="s">
        <v>261</v>
      </c>
      <c r="C9" s="6">
        <v>46183</v>
      </c>
      <c r="D9" s="9">
        <v>28.9</v>
      </c>
      <c r="E9" s="10">
        <v>60</v>
      </c>
      <c r="F9" s="2" t="s">
        <v>231</v>
      </c>
      <c r="G9" s="2" t="s">
        <v>231</v>
      </c>
      <c r="H9" s="2" t="s">
        <v>231</v>
      </c>
      <c r="I9" s="2" t="s">
        <v>229</v>
      </c>
      <c r="J9" s="2" t="s">
        <v>230</v>
      </c>
      <c r="K9" s="7">
        <v>0</v>
      </c>
      <c r="L9" s="2">
        <v>4</v>
      </c>
      <c r="M9" s="2" t="s">
        <v>556</v>
      </c>
      <c r="N9" s="2" t="s">
        <v>231</v>
      </c>
    </row>
    <row r="10" spans="1:14" x14ac:dyDescent="0.3">
      <c r="A10" s="2" t="s">
        <v>563</v>
      </c>
      <c r="B10" s="2" t="s">
        <v>261</v>
      </c>
      <c r="C10" s="6">
        <v>46186</v>
      </c>
      <c r="D10" s="9">
        <v>28.4</v>
      </c>
      <c r="E10" s="10">
        <v>62</v>
      </c>
      <c r="F10" s="2" t="s">
        <v>231</v>
      </c>
      <c r="G10" s="2" t="s">
        <v>231</v>
      </c>
      <c r="H10" s="2" t="s">
        <v>237</v>
      </c>
      <c r="I10" s="2" t="s">
        <v>229</v>
      </c>
      <c r="J10" s="2" t="s">
        <v>230</v>
      </c>
      <c r="K10" s="7">
        <v>1</v>
      </c>
      <c r="L10" s="2">
        <v>4</v>
      </c>
      <c r="M10" s="2" t="s">
        <v>554</v>
      </c>
      <c r="N10" s="2" t="s">
        <v>231</v>
      </c>
    </row>
    <row r="11" spans="1:14" x14ac:dyDescent="0.3">
      <c r="A11" s="2" t="s">
        <v>564</v>
      </c>
      <c r="B11" s="2" t="s">
        <v>261</v>
      </c>
      <c r="C11" s="6">
        <v>46189</v>
      </c>
      <c r="D11" s="9">
        <v>27.9</v>
      </c>
      <c r="E11" s="10">
        <v>60</v>
      </c>
      <c r="F11" s="2" t="s">
        <v>231</v>
      </c>
      <c r="G11" s="2" t="s">
        <v>231</v>
      </c>
      <c r="H11" s="2" t="s">
        <v>231</v>
      </c>
      <c r="I11" s="2" t="s">
        <v>229</v>
      </c>
      <c r="J11" s="2" t="s">
        <v>230</v>
      </c>
      <c r="K11" s="7">
        <v>0</v>
      </c>
      <c r="L11" s="2">
        <v>2</v>
      </c>
      <c r="M11" s="2" t="s">
        <v>556</v>
      </c>
      <c r="N11" s="2" t="s">
        <v>231</v>
      </c>
    </row>
    <row r="12" spans="1:14" x14ac:dyDescent="0.3">
      <c r="A12" s="2" t="s">
        <v>565</v>
      </c>
      <c r="B12" s="2" t="s">
        <v>261</v>
      </c>
      <c r="C12" s="6">
        <v>46192</v>
      </c>
      <c r="D12" s="9">
        <v>27.5</v>
      </c>
      <c r="E12" s="10">
        <v>62</v>
      </c>
      <c r="F12" s="2" t="s">
        <v>231</v>
      </c>
      <c r="G12" s="2" t="s">
        <v>231</v>
      </c>
      <c r="H12" s="2" t="s">
        <v>231</v>
      </c>
      <c r="I12" s="2" t="s">
        <v>235</v>
      </c>
      <c r="J12" s="2" t="s">
        <v>230</v>
      </c>
      <c r="K12" s="7">
        <v>0</v>
      </c>
      <c r="L12" s="2">
        <v>4</v>
      </c>
      <c r="M12" s="2" t="s">
        <v>556</v>
      </c>
      <c r="N12" s="2" t="s">
        <v>231</v>
      </c>
    </row>
    <row r="13" spans="1:14" x14ac:dyDescent="0.3">
      <c r="A13" s="2" t="s">
        <v>566</v>
      </c>
      <c r="B13" s="2" t="s">
        <v>261</v>
      </c>
      <c r="C13" s="6">
        <v>46195</v>
      </c>
      <c r="D13" s="9">
        <v>27.1</v>
      </c>
      <c r="E13" s="10">
        <v>60</v>
      </c>
      <c r="F13" s="2" t="s">
        <v>231</v>
      </c>
      <c r="G13" s="2" t="s">
        <v>231</v>
      </c>
      <c r="H13" s="2" t="s">
        <v>231</v>
      </c>
      <c r="I13" s="2" t="s">
        <v>229</v>
      </c>
      <c r="J13" s="2" t="s">
        <v>230</v>
      </c>
      <c r="K13" s="7">
        <v>0</v>
      </c>
      <c r="L13" s="2">
        <v>4</v>
      </c>
      <c r="M13" s="2" t="s">
        <v>556</v>
      </c>
      <c r="N13" s="2" t="s">
        <v>231</v>
      </c>
    </row>
    <row r="14" spans="1:14" x14ac:dyDescent="0.3">
      <c r="A14" s="2" t="s">
        <v>567</v>
      </c>
      <c r="B14" s="2" t="s">
        <v>261</v>
      </c>
      <c r="C14" s="6">
        <v>46198</v>
      </c>
      <c r="D14" s="9">
        <v>26.6</v>
      </c>
      <c r="E14" s="10">
        <v>62</v>
      </c>
      <c r="F14" s="2" t="s">
        <v>231</v>
      </c>
      <c r="G14" s="2" t="s">
        <v>231</v>
      </c>
      <c r="H14" s="2" t="s">
        <v>237</v>
      </c>
      <c r="I14" s="2" t="s">
        <v>229</v>
      </c>
      <c r="J14" s="2" t="s">
        <v>236</v>
      </c>
      <c r="K14" s="7">
        <v>1</v>
      </c>
      <c r="L14" s="2">
        <v>2</v>
      </c>
      <c r="M14" s="2" t="s">
        <v>554</v>
      </c>
      <c r="N14" s="2" t="s">
        <v>231</v>
      </c>
    </row>
    <row r="15" spans="1:14" x14ac:dyDescent="0.3">
      <c r="A15" s="2" t="s">
        <v>568</v>
      </c>
      <c r="B15" s="2" t="s">
        <v>261</v>
      </c>
      <c r="C15" s="6">
        <v>46201</v>
      </c>
      <c r="D15" s="9">
        <v>26.1</v>
      </c>
      <c r="E15" s="10">
        <v>60</v>
      </c>
      <c r="F15" s="2" t="s">
        <v>231</v>
      </c>
      <c r="G15" s="2" t="s">
        <v>231</v>
      </c>
      <c r="H15" s="2" t="s">
        <v>231</v>
      </c>
      <c r="I15" s="2" t="s">
        <v>229</v>
      </c>
      <c r="J15" s="2" t="s">
        <v>230</v>
      </c>
      <c r="K15" s="7">
        <v>0</v>
      </c>
      <c r="L15" s="2">
        <v>4</v>
      </c>
      <c r="M15" s="2" t="s">
        <v>556</v>
      </c>
      <c r="N15" s="2" t="s">
        <v>231</v>
      </c>
    </row>
    <row r="16" spans="1:14" x14ac:dyDescent="0.3">
      <c r="A16" s="2" t="s">
        <v>569</v>
      </c>
      <c r="B16" s="2" t="s">
        <v>261</v>
      </c>
      <c r="C16" s="6">
        <v>46204</v>
      </c>
      <c r="D16" s="9">
        <v>25.7</v>
      </c>
      <c r="E16" s="10">
        <v>62</v>
      </c>
      <c r="F16" s="2" t="s">
        <v>231</v>
      </c>
      <c r="G16" s="2" t="s">
        <v>231</v>
      </c>
      <c r="H16" s="2" t="s">
        <v>231</v>
      </c>
      <c r="I16" s="2" t="s">
        <v>229</v>
      </c>
      <c r="J16" s="2" t="s">
        <v>230</v>
      </c>
      <c r="K16" s="7">
        <v>0</v>
      </c>
      <c r="L16" s="2">
        <v>4</v>
      </c>
      <c r="M16" s="2" t="s">
        <v>556</v>
      </c>
      <c r="N16" s="2" t="s">
        <v>231</v>
      </c>
    </row>
    <row r="17" spans="1:14" x14ac:dyDescent="0.3">
      <c r="A17" s="2" t="s">
        <v>570</v>
      </c>
      <c r="B17" s="2" t="s">
        <v>263</v>
      </c>
      <c r="C17" s="6">
        <v>46198</v>
      </c>
      <c r="D17" s="9">
        <v>32</v>
      </c>
      <c r="E17" s="10">
        <v>62</v>
      </c>
      <c r="F17" s="2" t="s">
        <v>231</v>
      </c>
      <c r="G17" s="2" t="s">
        <v>231</v>
      </c>
      <c r="H17" s="2" t="s">
        <v>237</v>
      </c>
      <c r="I17" s="2" t="s">
        <v>235</v>
      </c>
      <c r="J17" s="2" t="s">
        <v>236</v>
      </c>
      <c r="K17" s="7">
        <v>1</v>
      </c>
      <c r="L17" s="2">
        <v>2</v>
      </c>
      <c r="M17" s="2" t="s">
        <v>554</v>
      </c>
      <c r="N17" s="2" t="s">
        <v>231</v>
      </c>
    </row>
    <row r="18" spans="1:14" x14ac:dyDescent="0.3">
      <c r="A18" s="2" t="s">
        <v>571</v>
      </c>
      <c r="B18" s="2" t="s">
        <v>263</v>
      </c>
      <c r="C18" s="6">
        <v>46201</v>
      </c>
      <c r="D18" s="9">
        <v>31.6</v>
      </c>
      <c r="E18" s="10">
        <v>60</v>
      </c>
      <c r="F18" s="2" t="s">
        <v>231</v>
      </c>
      <c r="G18" s="2" t="s">
        <v>231</v>
      </c>
      <c r="H18" s="2" t="s">
        <v>231</v>
      </c>
      <c r="I18" s="2" t="s">
        <v>229</v>
      </c>
      <c r="J18" s="2" t="s">
        <v>230</v>
      </c>
      <c r="K18" s="7">
        <v>0</v>
      </c>
      <c r="L18" s="2">
        <v>4</v>
      </c>
      <c r="M18" s="2" t="s">
        <v>556</v>
      </c>
      <c r="N18" s="2" t="s">
        <v>231</v>
      </c>
    </row>
    <row r="19" spans="1:14" x14ac:dyDescent="0.3">
      <c r="A19" s="2" t="s">
        <v>572</v>
      </c>
      <c r="B19" s="2" t="s">
        <v>263</v>
      </c>
      <c r="C19" s="6">
        <v>46204</v>
      </c>
      <c r="D19" s="9">
        <v>31.1</v>
      </c>
      <c r="E19" s="10">
        <v>62</v>
      </c>
      <c r="F19" s="2" t="s">
        <v>231</v>
      </c>
      <c r="G19" s="2" t="s">
        <v>231</v>
      </c>
      <c r="H19" s="2" t="s">
        <v>231</v>
      </c>
      <c r="I19" s="2" t="s">
        <v>229</v>
      </c>
      <c r="J19" s="2" t="s">
        <v>230</v>
      </c>
      <c r="K19" s="7">
        <v>0</v>
      </c>
      <c r="L19" s="2">
        <v>4</v>
      </c>
      <c r="M19" s="2" t="s">
        <v>556</v>
      </c>
      <c r="N19" s="2" t="s">
        <v>231</v>
      </c>
    </row>
    <row r="20" spans="1:14" x14ac:dyDescent="0.3">
      <c r="A20" s="2" t="s">
        <v>573</v>
      </c>
      <c r="B20" s="2" t="s">
        <v>263</v>
      </c>
      <c r="C20" s="6">
        <v>46207</v>
      </c>
      <c r="D20" s="9">
        <v>30.6</v>
      </c>
      <c r="E20" s="10">
        <v>60</v>
      </c>
      <c r="F20" s="2" t="s">
        <v>231</v>
      </c>
      <c r="G20" s="2" t="s">
        <v>231</v>
      </c>
      <c r="H20" s="2" t="s">
        <v>231</v>
      </c>
      <c r="I20" s="2" t="s">
        <v>229</v>
      </c>
      <c r="J20" s="2" t="s">
        <v>230</v>
      </c>
      <c r="K20" s="7">
        <v>0</v>
      </c>
      <c r="L20" s="2">
        <v>2</v>
      </c>
      <c r="M20" s="2" t="s">
        <v>556</v>
      </c>
      <c r="N20" s="2" t="s">
        <v>231</v>
      </c>
    </row>
    <row r="21" spans="1:14" x14ac:dyDescent="0.3">
      <c r="A21" s="2" t="s">
        <v>574</v>
      </c>
      <c r="B21" s="2" t="s">
        <v>263</v>
      </c>
      <c r="C21" s="6">
        <v>46210</v>
      </c>
      <c r="D21" s="9">
        <v>30.2</v>
      </c>
      <c r="E21" s="10">
        <v>62</v>
      </c>
      <c r="F21" s="2" t="s">
        <v>231</v>
      </c>
      <c r="G21" s="2" t="s">
        <v>231</v>
      </c>
      <c r="H21" s="2" t="s">
        <v>237</v>
      </c>
      <c r="I21" s="2" t="s">
        <v>229</v>
      </c>
      <c r="J21" s="2" t="s">
        <v>230</v>
      </c>
      <c r="K21" s="7">
        <v>1</v>
      </c>
      <c r="L21" s="2">
        <v>4</v>
      </c>
      <c r="M21" s="2" t="s">
        <v>554</v>
      </c>
      <c r="N21" s="2" t="s">
        <v>231</v>
      </c>
    </row>
    <row r="22" spans="1:14" x14ac:dyDescent="0.3">
      <c r="A22" s="2" t="s">
        <v>575</v>
      </c>
      <c r="B22" s="2" t="s">
        <v>263</v>
      </c>
      <c r="C22" s="6">
        <v>46213</v>
      </c>
      <c r="D22" s="9">
        <v>29.8</v>
      </c>
      <c r="E22" s="10">
        <v>60</v>
      </c>
      <c r="F22" s="2" t="s">
        <v>231</v>
      </c>
      <c r="G22" s="2" t="s">
        <v>231</v>
      </c>
      <c r="H22" s="2" t="s">
        <v>231</v>
      </c>
      <c r="I22" s="2" t="s">
        <v>235</v>
      </c>
      <c r="J22" s="2" t="s">
        <v>230</v>
      </c>
      <c r="K22" s="7">
        <v>0</v>
      </c>
      <c r="L22" s="2">
        <v>4</v>
      </c>
      <c r="M22" s="2" t="s">
        <v>556</v>
      </c>
      <c r="N22" s="2" t="s">
        <v>231</v>
      </c>
    </row>
    <row r="23" spans="1:14" x14ac:dyDescent="0.3">
      <c r="A23" s="2" t="s">
        <v>576</v>
      </c>
      <c r="B23" s="2" t="s">
        <v>263</v>
      </c>
      <c r="C23" s="6">
        <v>46216</v>
      </c>
      <c r="D23" s="9">
        <v>29.3</v>
      </c>
      <c r="E23" s="10">
        <v>62</v>
      </c>
      <c r="F23" s="2" t="s">
        <v>231</v>
      </c>
      <c r="G23" s="2" t="s">
        <v>231</v>
      </c>
      <c r="H23" s="2" t="s">
        <v>231</v>
      </c>
      <c r="I23" s="2" t="s">
        <v>229</v>
      </c>
      <c r="J23" s="2" t="s">
        <v>236</v>
      </c>
      <c r="K23" s="7">
        <v>0</v>
      </c>
      <c r="L23" s="2">
        <v>2</v>
      </c>
      <c r="M23" s="2" t="s">
        <v>556</v>
      </c>
      <c r="N23" s="2" t="s">
        <v>231</v>
      </c>
    </row>
    <row r="24" spans="1:14" x14ac:dyDescent="0.3">
      <c r="A24" s="2" t="s">
        <v>577</v>
      </c>
      <c r="B24" s="2" t="s">
        <v>263</v>
      </c>
      <c r="C24" s="6">
        <v>46219</v>
      </c>
      <c r="D24" s="9">
        <v>28.9</v>
      </c>
      <c r="E24" s="10">
        <v>60</v>
      </c>
      <c r="F24" s="2" t="s">
        <v>231</v>
      </c>
      <c r="G24" s="2" t="s">
        <v>231</v>
      </c>
      <c r="H24" s="2" t="s">
        <v>231</v>
      </c>
      <c r="I24" s="2" t="s">
        <v>229</v>
      </c>
      <c r="J24" s="2" t="s">
        <v>230</v>
      </c>
      <c r="K24" s="7">
        <v>0</v>
      </c>
      <c r="L24" s="2">
        <v>4</v>
      </c>
      <c r="M24" s="2" t="s">
        <v>556</v>
      </c>
      <c r="N24" s="2" t="s">
        <v>231</v>
      </c>
    </row>
    <row r="25" spans="1:14" x14ac:dyDescent="0.3">
      <c r="A25" s="2" t="s">
        <v>578</v>
      </c>
      <c r="B25" s="2" t="s">
        <v>263</v>
      </c>
      <c r="C25" s="6">
        <v>46222</v>
      </c>
      <c r="D25" s="9">
        <v>28.4</v>
      </c>
      <c r="E25" s="10">
        <v>62</v>
      </c>
      <c r="F25" s="2" t="s">
        <v>231</v>
      </c>
      <c r="G25" s="2" t="s">
        <v>231</v>
      </c>
      <c r="H25" s="2" t="s">
        <v>237</v>
      </c>
      <c r="I25" s="2" t="s">
        <v>229</v>
      </c>
      <c r="J25" s="2" t="s">
        <v>230</v>
      </c>
      <c r="K25" s="7">
        <v>1</v>
      </c>
      <c r="L25" s="2">
        <v>4</v>
      </c>
      <c r="M25" s="2" t="s">
        <v>554</v>
      </c>
      <c r="N25" s="2" t="s">
        <v>231</v>
      </c>
    </row>
    <row r="26" spans="1:14" x14ac:dyDescent="0.3">
      <c r="A26" s="2" t="s">
        <v>579</v>
      </c>
      <c r="B26" s="2" t="s">
        <v>263</v>
      </c>
      <c r="C26" s="6">
        <v>46225</v>
      </c>
      <c r="D26" s="9">
        <v>27.9</v>
      </c>
      <c r="E26" s="10">
        <v>60</v>
      </c>
      <c r="F26" s="2" t="s">
        <v>231</v>
      </c>
      <c r="G26" s="2" t="s">
        <v>231</v>
      </c>
      <c r="H26" s="2" t="s">
        <v>231</v>
      </c>
      <c r="I26" s="2" t="s">
        <v>229</v>
      </c>
      <c r="J26" s="2" t="s">
        <v>230</v>
      </c>
      <c r="K26" s="7">
        <v>0</v>
      </c>
      <c r="L26" s="2">
        <v>2</v>
      </c>
      <c r="M26" s="2" t="s">
        <v>556</v>
      </c>
      <c r="N26" s="2" t="s">
        <v>231</v>
      </c>
    </row>
    <row r="27" spans="1:14" x14ac:dyDescent="0.3">
      <c r="A27" s="2" t="s">
        <v>580</v>
      </c>
      <c r="B27" s="2" t="s">
        <v>263</v>
      </c>
      <c r="C27" s="6">
        <v>46228</v>
      </c>
      <c r="D27" s="9">
        <v>27.5</v>
      </c>
      <c r="E27" s="10">
        <v>62</v>
      </c>
      <c r="F27" s="2" t="s">
        <v>231</v>
      </c>
      <c r="G27" s="2" t="s">
        <v>231</v>
      </c>
      <c r="H27" s="2" t="s">
        <v>231</v>
      </c>
      <c r="I27" s="2" t="s">
        <v>235</v>
      </c>
      <c r="J27" s="2" t="s">
        <v>230</v>
      </c>
      <c r="K27" s="7">
        <v>0</v>
      </c>
      <c r="L27" s="2">
        <v>4</v>
      </c>
      <c r="M27" s="2" t="s">
        <v>556</v>
      </c>
      <c r="N27" s="2" t="s">
        <v>231</v>
      </c>
    </row>
    <row r="28" spans="1:14" x14ac:dyDescent="0.3">
      <c r="A28" s="2" t="s">
        <v>581</v>
      </c>
      <c r="B28" s="2" t="s">
        <v>263</v>
      </c>
      <c r="C28" s="6">
        <v>46231</v>
      </c>
      <c r="D28" s="9">
        <v>27.1</v>
      </c>
      <c r="E28" s="10">
        <v>60</v>
      </c>
      <c r="F28" s="2" t="s">
        <v>231</v>
      </c>
      <c r="G28" s="2" t="s">
        <v>231</v>
      </c>
      <c r="H28" s="2" t="s">
        <v>231</v>
      </c>
      <c r="I28" s="2" t="s">
        <v>229</v>
      </c>
      <c r="J28" s="2" t="s">
        <v>230</v>
      </c>
      <c r="K28" s="7">
        <v>0</v>
      </c>
      <c r="L28" s="2">
        <v>4</v>
      </c>
      <c r="M28" s="2" t="s">
        <v>556</v>
      </c>
      <c r="N28" s="2" t="s">
        <v>231</v>
      </c>
    </row>
    <row r="29" spans="1:14" x14ac:dyDescent="0.3">
      <c r="A29" s="2" t="s">
        <v>582</v>
      </c>
      <c r="B29" s="2" t="s">
        <v>263</v>
      </c>
      <c r="C29" s="6">
        <v>46234</v>
      </c>
      <c r="D29" s="9">
        <v>26.6</v>
      </c>
      <c r="E29" s="10">
        <v>62</v>
      </c>
      <c r="F29" s="2" t="s">
        <v>231</v>
      </c>
      <c r="G29" s="2" t="s">
        <v>231</v>
      </c>
      <c r="H29" s="2" t="s">
        <v>237</v>
      </c>
      <c r="I29" s="2" t="s">
        <v>229</v>
      </c>
      <c r="J29" s="2" t="s">
        <v>236</v>
      </c>
      <c r="K29" s="7">
        <v>1</v>
      </c>
      <c r="L29" s="2">
        <v>2</v>
      </c>
      <c r="M29" s="2" t="s">
        <v>554</v>
      </c>
      <c r="N29" s="2" t="s">
        <v>231</v>
      </c>
    </row>
    <row r="30" spans="1:14" x14ac:dyDescent="0.3">
      <c r="A30" s="2" t="s">
        <v>583</v>
      </c>
      <c r="B30" s="2" t="s">
        <v>263</v>
      </c>
      <c r="C30" s="6">
        <v>46237</v>
      </c>
      <c r="D30" s="9">
        <v>26.1</v>
      </c>
      <c r="E30" s="10">
        <v>60</v>
      </c>
      <c r="F30" s="2" t="s">
        <v>231</v>
      </c>
      <c r="G30" s="2" t="s">
        <v>231</v>
      </c>
      <c r="H30" s="2" t="s">
        <v>231</v>
      </c>
      <c r="I30" s="2" t="s">
        <v>229</v>
      </c>
      <c r="J30" s="2" t="s">
        <v>230</v>
      </c>
      <c r="K30" s="7">
        <v>0</v>
      </c>
      <c r="L30" s="2">
        <v>4</v>
      </c>
      <c r="M30" s="2" t="s">
        <v>556</v>
      </c>
      <c r="N30" s="2" t="s">
        <v>231</v>
      </c>
    </row>
    <row r="31" spans="1:14" x14ac:dyDescent="0.3">
      <c r="A31" s="2" t="s">
        <v>584</v>
      </c>
      <c r="B31" s="2" t="s">
        <v>263</v>
      </c>
      <c r="C31" s="6">
        <v>46240</v>
      </c>
      <c r="D31" s="9">
        <v>25.7</v>
      </c>
      <c r="E31" s="10">
        <v>62</v>
      </c>
      <c r="F31" s="2" t="s">
        <v>231</v>
      </c>
      <c r="G31" s="2" t="s">
        <v>231</v>
      </c>
      <c r="H31" s="2" t="s">
        <v>231</v>
      </c>
      <c r="I31" s="2" t="s">
        <v>229</v>
      </c>
      <c r="J31" s="2" t="s">
        <v>230</v>
      </c>
      <c r="K31" s="7">
        <v>0</v>
      </c>
      <c r="L31" s="2">
        <v>4</v>
      </c>
      <c r="M31" s="2" t="s">
        <v>556</v>
      </c>
      <c r="N31" s="2" t="s">
        <v>231</v>
      </c>
    </row>
    <row r="32" spans="1:14" x14ac:dyDescent="0.3">
      <c r="A32" s="2" t="s">
        <v>585</v>
      </c>
      <c r="B32" s="2" t="s">
        <v>264</v>
      </c>
      <c r="C32" s="6">
        <v>46218</v>
      </c>
      <c r="D32" s="9">
        <v>32</v>
      </c>
      <c r="E32" s="10">
        <v>62</v>
      </c>
      <c r="F32" s="2" t="s">
        <v>231</v>
      </c>
      <c r="G32" s="2" t="s">
        <v>231</v>
      </c>
      <c r="H32" s="2" t="s">
        <v>237</v>
      </c>
      <c r="I32" s="2" t="s">
        <v>235</v>
      </c>
      <c r="J32" s="2" t="s">
        <v>236</v>
      </c>
      <c r="K32" s="7">
        <v>1</v>
      </c>
      <c r="L32" s="2">
        <v>2</v>
      </c>
      <c r="M32" s="2" t="s">
        <v>554</v>
      </c>
      <c r="N32" s="2" t="s">
        <v>231</v>
      </c>
    </row>
    <row r="33" spans="1:14" x14ac:dyDescent="0.3">
      <c r="A33" s="2" t="s">
        <v>586</v>
      </c>
      <c r="B33" s="2" t="s">
        <v>264</v>
      </c>
      <c r="C33" s="6">
        <v>46221</v>
      </c>
      <c r="D33" s="9">
        <v>31.6</v>
      </c>
      <c r="E33" s="10">
        <v>60</v>
      </c>
      <c r="F33" s="2" t="s">
        <v>231</v>
      </c>
      <c r="G33" s="2" t="s">
        <v>231</v>
      </c>
      <c r="H33" s="2" t="s">
        <v>231</v>
      </c>
      <c r="I33" s="2" t="s">
        <v>229</v>
      </c>
      <c r="J33" s="2" t="s">
        <v>230</v>
      </c>
      <c r="K33" s="7">
        <v>0</v>
      </c>
      <c r="L33" s="2">
        <v>4</v>
      </c>
      <c r="M33" s="2" t="s">
        <v>556</v>
      </c>
      <c r="N33" s="2" t="s">
        <v>231</v>
      </c>
    </row>
    <row r="34" spans="1:14" x14ac:dyDescent="0.3">
      <c r="A34" s="2" t="s">
        <v>587</v>
      </c>
      <c r="B34" s="2" t="s">
        <v>264</v>
      </c>
      <c r="C34" s="6">
        <v>46224</v>
      </c>
      <c r="D34" s="9">
        <v>31.1</v>
      </c>
      <c r="E34" s="10">
        <v>62</v>
      </c>
      <c r="F34" s="2" t="s">
        <v>231</v>
      </c>
      <c r="G34" s="2" t="s">
        <v>231</v>
      </c>
      <c r="H34" s="2" t="s">
        <v>231</v>
      </c>
      <c r="I34" s="2" t="s">
        <v>229</v>
      </c>
      <c r="J34" s="2" t="s">
        <v>230</v>
      </c>
      <c r="K34" s="7">
        <v>0</v>
      </c>
      <c r="L34" s="2">
        <v>4</v>
      </c>
      <c r="M34" s="2" t="s">
        <v>556</v>
      </c>
      <c r="N34" s="2" t="s">
        <v>231</v>
      </c>
    </row>
    <row r="35" spans="1:14" x14ac:dyDescent="0.3">
      <c r="A35" s="2" t="s">
        <v>588</v>
      </c>
      <c r="B35" s="2" t="s">
        <v>264</v>
      </c>
      <c r="C35" s="6">
        <v>46227</v>
      </c>
      <c r="D35" s="9">
        <v>30.6</v>
      </c>
      <c r="E35" s="10">
        <v>60</v>
      </c>
      <c r="F35" s="2" t="s">
        <v>231</v>
      </c>
      <c r="G35" s="2" t="s">
        <v>231</v>
      </c>
      <c r="H35" s="2" t="s">
        <v>231</v>
      </c>
      <c r="I35" s="2" t="s">
        <v>229</v>
      </c>
      <c r="J35" s="2" t="s">
        <v>230</v>
      </c>
      <c r="K35" s="7">
        <v>0</v>
      </c>
      <c r="L35" s="2">
        <v>2</v>
      </c>
      <c r="M35" s="2" t="s">
        <v>556</v>
      </c>
      <c r="N35" s="2" t="s">
        <v>231</v>
      </c>
    </row>
    <row r="36" spans="1:14" x14ac:dyDescent="0.3">
      <c r="A36" s="2" t="s">
        <v>589</v>
      </c>
      <c r="B36" s="2" t="s">
        <v>264</v>
      </c>
      <c r="C36" s="6">
        <v>46230</v>
      </c>
      <c r="D36" s="9">
        <v>30.2</v>
      </c>
      <c r="E36" s="10">
        <v>62</v>
      </c>
      <c r="F36" s="2" t="s">
        <v>231</v>
      </c>
      <c r="G36" s="2" t="s">
        <v>231</v>
      </c>
      <c r="H36" s="2" t="s">
        <v>237</v>
      </c>
      <c r="I36" s="2" t="s">
        <v>229</v>
      </c>
      <c r="J36" s="2" t="s">
        <v>230</v>
      </c>
      <c r="K36" s="7">
        <v>1</v>
      </c>
      <c r="L36" s="2">
        <v>4</v>
      </c>
      <c r="M36" s="2" t="s">
        <v>554</v>
      </c>
      <c r="N36" s="2" t="s">
        <v>231</v>
      </c>
    </row>
    <row r="37" spans="1:14" x14ac:dyDescent="0.3">
      <c r="A37" s="2" t="s">
        <v>590</v>
      </c>
      <c r="B37" s="2" t="s">
        <v>264</v>
      </c>
      <c r="C37" s="6">
        <v>46233</v>
      </c>
      <c r="D37" s="9">
        <v>29.8</v>
      </c>
      <c r="E37" s="10">
        <v>60</v>
      </c>
      <c r="F37" s="2" t="s">
        <v>231</v>
      </c>
      <c r="G37" s="2" t="s">
        <v>231</v>
      </c>
      <c r="H37" s="2" t="s">
        <v>231</v>
      </c>
      <c r="I37" s="2" t="s">
        <v>235</v>
      </c>
      <c r="J37" s="2" t="s">
        <v>230</v>
      </c>
      <c r="K37" s="7">
        <v>0</v>
      </c>
      <c r="L37" s="2">
        <v>4</v>
      </c>
      <c r="M37" s="2" t="s">
        <v>556</v>
      </c>
      <c r="N37" s="2" t="s">
        <v>231</v>
      </c>
    </row>
    <row r="38" spans="1:14" x14ac:dyDescent="0.3">
      <c r="A38" s="2" t="s">
        <v>591</v>
      </c>
      <c r="B38" s="2" t="s">
        <v>264</v>
      </c>
      <c r="C38" s="6">
        <v>46236</v>
      </c>
      <c r="D38" s="9">
        <v>29.3</v>
      </c>
      <c r="E38" s="10">
        <v>62</v>
      </c>
      <c r="F38" s="2" t="s">
        <v>231</v>
      </c>
      <c r="G38" s="2" t="s">
        <v>231</v>
      </c>
      <c r="H38" s="2" t="s">
        <v>231</v>
      </c>
      <c r="I38" s="2" t="s">
        <v>229</v>
      </c>
      <c r="J38" s="2" t="s">
        <v>236</v>
      </c>
      <c r="K38" s="7">
        <v>0</v>
      </c>
      <c r="L38" s="2">
        <v>2</v>
      </c>
      <c r="M38" s="2" t="s">
        <v>556</v>
      </c>
      <c r="N38" s="2" t="s">
        <v>231</v>
      </c>
    </row>
    <row r="39" spans="1:14" x14ac:dyDescent="0.3">
      <c r="A39" s="2" t="s">
        <v>592</v>
      </c>
      <c r="B39" s="2" t="s">
        <v>264</v>
      </c>
      <c r="C39" s="6">
        <v>46239</v>
      </c>
      <c r="D39" s="9">
        <v>28.9</v>
      </c>
      <c r="E39" s="10">
        <v>60</v>
      </c>
      <c r="F39" s="2" t="s">
        <v>231</v>
      </c>
      <c r="G39" s="2" t="s">
        <v>231</v>
      </c>
      <c r="H39" s="2" t="s">
        <v>231</v>
      </c>
      <c r="I39" s="2" t="s">
        <v>229</v>
      </c>
      <c r="J39" s="2" t="s">
        <v>230</v>
      </c>
      <c r="K39" s="7">
        <v>0</v>
      </c>
      <c r="L39" s="2">
        <v>4</v>
      </c>
      <c r="M39" s="2" t="s">
        <v>556</v>
      </c>
      <c r="N39" s="2" t="s">
        <v>231</v>
      </c>
    </row>
    <row r="40" spans="1:14" x14ac:dyDescent="0.3">
      <c r="A40" s="2" t="s">
        <v>593</v>
      </c>
      <c r="B40" s="2" t="s">
        <v>264</v>
      </c>
      <c r="C40" s="6">
        <v>46242</v>
      </c>
      <c r="D40" s="9">
        <v>28.4</v>
      </c>
      <c r="E40" s="10">
        <v>62</v>
      </c>
      <c r="F40" s="2" t="s">
        <v>231</v>
      </c>
      <c r="G40" s="2" t="s">
        <v>231</v>
      </c>
      <c r="H40" s="2" t="s">
        <v>237</v>
      </c>
      <c r="I40" s="2" t="s">
        <v>229</v>
      </c>
      <c r="J40" s="2" t="s">
        <v>230</v>
      </c>
      <c r="K40" s="7">
        <v>1</v>
      </c>
      <c r="L40" s="2">
        <v>4</v>
      </c>
      <c r="M40" s="2" t="s">
        <v>554</v>
      </c>
      <c r="N40" s="2" t="s">
        <v>231</v>
      </c>
    </row>
    <row r="41" spans="1:14" x14ac:dyDescent="0.3">
      <c r="A41" s="2" t="s">
        <v>594</v>
      </c>
      <c r="B41" s="2" t="s">
        <v>265</v>
      </c>
      <c r="C41" s="6">
        <v>46235</v>
      </c>
      <c r="D41" s="9">
        <v>32</v>
      </c>
      <c r="E41" s="10">
        <v>62</v>
      </c>
      <c r="F41" s="2" t="s">
        <v>231</v>
      </c>
      <c r="G41" s="2" t="s">
        <v>231</v>
      </c>
      <c r="H41" s="2" t="s">
        <v>237</v>
      </c>
      <c r="I41" s="2" t="s">
        <v>235</v>
      </c>
      <c r="J41" s="2" t="s">
        <v>236</v>
      </c>
      <c r="K41" s="7">
        <v>1</v>
      </c>
      <c r="L41" s="2">
        <v>2</v>
      </c>
      <c r="M41" s="2" t="s">
        <v>554</v>
      </c>
      <c r="N41" s="2" t="s">
        <v>231</v>
      </c>
    </row>
    <row r="42" spans="1:14" x14ac:dyDescent="0.3">
      <c r="A42" s="2" t="s">
        <v>595</v>
      </c>
      <c r="B42" s="2" t="s">
        <v>265</v>
      </c>
      <c r="C42" s="6">
        <v>46238</v>
      </c>
      <c r="D42" s="9">
        <v>31.6</v>
      </c>
      <c r="E42" s="10">
        <v>60</v>
      </c>
      <c r="F42" s="2" t="s">
        <v>231</v>
      </c>
      <c r="G42" s="2" t="s">
        <v>231</v>
      </c>
      <c r="H42" s="2" t="s">
        <v>231</v>
      </c>
      <c r="I42" s="2" t="s">
        <v>229</v>
      </c>
      <c r="J42" s="2" t="s">
        <v>230</v>
      </c>
      <c r="K42" s="7">
        <v>0</v>
      </c>
      <c r="L42" s="2">
        <v>4</v>
      </c>
      <c r="M42" s="2" t="s">
        <v>556</v>
      </c>
      <c r="N42" s="2" t="s">
        <v>231</v>
      </c>
    </row>
    <row r="43" spans="1:14" x14ac:dyDescent="0.3">
      <c r="A43" s="2" t="s">
        <v>596</v>
      </c>
      <c r="B43" s="2" t="s">
        <v>265</v>
      </c>
      <c r="C43" s="6">
        <v>46241</v>
      </c>
      <c r="D43" s="9">
        <v>31.1</v>
      </c>
      <c r="E43" s="10">
        <v>62</v>
      </c>
      <c r="F43" s="2" t="s">
        <v>231</v>
      </c>
      <c r="G43" s="2" t="s">
        <v>231</v>
      </c>
      <c r="H43" s="2" t="s">
        <v>231</v>
      </c>
      <c r="I43" s="2" t="s">
        <v>229</v>
      </c>
      <c r="J43" s="2" t="s">
        <v>230</v>
      </c>
      <c r="K43" s="7">
        <v>0</v>
      </c>
      <c r="L43" s="2">
        <v>4</v>
      </c>
      <c r="M43" s="2" t="s">
        <v>556</v>
      </c>
      <c r="N43" s="2" t="s">
        <v>231</v>
      </c>
    </row>
  </sheetData>
  <dataValidations count="5">
    <dataValidation type="list" sqref="B2:B93" xr:uid="{00000000-0002-0000-1A00-000000000000}">
      <formula1>FlockID_List</formula1>
    </dataValidation>
    <dataValidation type="list" sqref="F2:H93" xr:uid="{00000000-0002-0000-1A00-000001000000}">
      <formula1>List_YesNo</formula1>
    </dataValidation>
    <dataValidation type="list" sqref="I2:I93" xr:uid="{00000000-0002-0000-1A00-000004000000}">
      <formula1>List_LitterCondition</formula1>
    </dataValidation>
    <dataValidation type="list" sqref="J2:J93" xr:uid="{00000000-0002-0000-1A00-000005000000}">
      <formula1>List_Ventilation</formula1>
    </dataValidation>
    <dataValidation type="list" allowBlank="1" sqref="L2:L93" xr:uid="{00000000-0002-0000-1A00-000006000000}">
      <formula1>EmployeeID_List</formula1>
    </dataValidation>
  </dataValidations>
  <pageMargins left="0.75" right="0.75" top="1" bottom="1" header="0.5" footer="0.5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rgb="FF548235"/>
  </sheetPr>
  <dimension ref="A1:M7"/>
  <sheetViews>
    <sheetView showGridLines="0" workbookViewId="0">
      <pane ySplit="1" topLeftCell="A2" activePane="bottomLeft" state="frozen"/>
      <selection pane="bottomLeft"/>
    </sheetView>
  </sheetViews>
  <sheetFormatPr defaultRowHeight="14.4" x14ac:dyDescent="0.3"/>
  <cols>
    <col min="1" max="3" width="12" customWidth="1"/>
    <col min="4" max="4" width="10" customWidth="1"/>
    <col min="5" max="6" width="14" customWidth="1"/>
    <col min="7" max="7" width="16" customWidth="1"/>
    <col min="8" max="10" width="14" customWidth="1"/>
    <col min="11" max="11" width="16" customWidth="1"/>
    <col min="12" max="12" width="14" customWidth="1"/>
    <col min="13" max="13" width="10" customWidth="1"/>
  </cols>
  <sheetData>
    <row r="1" spans="1:13" ht="26.4" x14ac:dyDescent="0.3">
      <c r="A1" s="5" t="s">
        <v>266</v>
      </c>
      <c r="B1" s="5" t="s">
        <v>267</v>
      </c>
      <c r="C1" s="5" t="s">
        <v>139</v>
      </c>
      <c r="D1" s="5" t="s">
        <v>127</v>
      </c>
      <c r="E1" s="5" t="s">
        <v>597</v>
      </c>
      <c r="F1" s="5" t="s">
        <v>598</v>
      </c>
      <c r="G1" s="5" t="s">
        <v>599</v>
      </c>
      <c r="H1" s="5" t="s">
        <v>600</v>
      </c>
      <c r="I1" s="5" t="s">
        <v>601</v>
      </c>
      <c r="J1" s="5" t="s">
        <v>384</v>
      </c>
      <c r="K1" s="5" t="s">
        <v>221</v>
      </c>
      <c r="L1" s="5" t="s">
        <v>271</v>
      </c>
      <c r="M1" s="5" t="s">
        <v>272</v>
      </c>
    </row>
    <row r="2" spans="1:13" x14ac:dyDescent="0.3">
      <c r="A2" s="2" t="s">
        <v>602</v>
      </c>
      <c r="B2" s="6">
        <v>46163</v>
      </c>
      <c r="C2" s="2">
        <v>2</v>
      </c>
      <c r="D2" s="2">
        <v>1</v>
      </c>
      <c r="E2" s="2">
        <v>64</v>
      </c>
      <c r="F2" s="7">
        <v>50</v>
      </c>
      <c r="G2" s="3">
        <v>625</v>
      </c>
      <c r="H2" s="7">
        <f t="shared" ref="H2:H7" si="0">$E2*$F2</f>
        <v>3200</v>
      </c>
      <c r="I2" s="3">
        <f t="shared" ref="I2:I7" si="1">ROUND($E2*$G2,2)</f>
        <v>40000</v>
      </c>
      <c r="J2" s="2" t="s">
        <v>603</v>
      </c>
      <c r="K2" s="2" t="s">
        <v>240</v>
      </c>
      <c r="L2" s="2" t="s">
        <v>197</v>
      </c>
      <c r="M2" s="2" t="s">
        <v>231</v>
      </c>
    </row>
    <row r="3" spans="1:13" x14ac:dyDescent="0.3">
      <c r="A3" s="2" t="s">
        <v>604</v>
      </c>
      <c r="B3" s="6">
        <v>46171</v>
      </c>
      <c r="C3" s="2">
        <v>2</v>
      </c>
      <c r="D3" s="2">
        <v>2</v>
      </c>
      <c r="E3" s="2">
        <v>207</v>
      </c>
      <c r="F3" s="7">
        <v>50</v>
      </c>
      <c r="G3" s="3">
        <v>590</v>
      </c>
      <c r="H3" s="7">
        <f t="shared" si="0"/>
        <v>10350</v>
      </c>
      <c r="I3" s="3">
        <f t="shared" si="1"/>
        <v>122130</v>
      </c>
      <c r="J3" s="2" t="s">
        <v>605</v>
      </c>
      <c r="K3" s="2" t="s">
        <v>240</v>
      </c>
      <c r="L3" s="2" t="s">
        <v>197</v>
      </c>
      <c r="M3" s="2" t="s">
        <v>231</v>
      </c>
    </row>
    <row r="4" spans="1:13" x14ac:dyDescent="0.3">
      <c r="A4" s="2" t="s">
        <v>606</v>
      </c>
      <c r="B4" s="6">
        <v>46175</v>
      </c>
      <c r="C4" s="2">
        <v>2</v>
      </c>
      <c r="D4" s="2">
        <v>1</v>
      </c>
      <c r="E4" s="2">
        <v>43</v>
      </c>
      <c r="F4" s="7">
        <v>50</v>
      </c>
      <c r="G4" s="3">
        <v>625</v>
      </c>
      <c r="H4" s="7">
        <f t="shared" si="0"/>
        <v>2150</v>
      </c>
      <c r="I4" s="3">
        <f t="shared" si="1"/>
        <v>26875</v>
      </c>
      <c r="J4" s="2" t="s">
        <v>607</v>
      </c>
      <c r="K4" s="2" t="s">
        <v>240</v>
      </c>
      <c r="L4" s="2" t="s">
        <v>197</v>
      </c>
      <c r="M4" s="2" t="s">
        <v>231</v>
      </c>
    </row>
    <row r="5" spans="1:13" x14ac:dyDescent="0.3">
      <c r="A5" s="2" t="s">
        <v>608</v>
      </c>
      <c r="B5" s="6">
        <v>46183</v>
      </c>
      <c r="C5" s="2">
        <v>2</v>
      </c>
      <c r="D5" s="2">
        <v>2</v>
      </c>
      <c r="E5" s="2">
        <v>138</v>
      </c>
      <c r="F5" s="7">
        <v>50</v>
      </c>
      <c r="G5" s="3">
        <v>590</v>
      </c>
      <c r="H5" s="7">
        <f t="shared" si="0"/>
        <v>6900</v>
      </c>
      <c r="I5" s="3">
        <f t="shared" si="1"/>
        <v>81420</v>
      </c>
      <c r="J5" s="2" t="s">
        <v>609</v>
      </c>
      <c r="K5" s="2" t="s">
        <v>240</v>
      </c>
      <c r="L5" s="2" t="s">
        <v>197</v>
      </c>
      <c r="M5" s="2" t="s">
        <v>231</v>
      </c>
    </row>
    <row r="6" spans="1:13" x14ac:dyDescent="0.3">
      <c r="A6" s="2" t="s">
        <v>610</v>
      </c>
      <c r="B6" s="6">
        <v>46187</v>
      </c>
      <c r="C6" s="2">
        <v>2</v>
      </c>
      <c r="D6" s="2">
        <v>3</v>
      </c>
      <c r="E6" s="2">
        <v>255</v>
      </c>
      <c r="F6" s="7">
        <v>50</v>
      </c>
      <c r="G6" s="3">
        <v>560</v>
      </c>
      <c r="H6" s="7">
        <f t="shared" si="0"/>
        <v>12750</v>
      </c>
      <c r="I6" s="3">
        <f t="shared" si="1"/>
        <v>142800</v>
      </c>
      <c r="J6" s="2" t="s">
        <v>611</v>
      </c>
      <c r="K6" s="2" t="s">
        <v>240</v>
      </c>
      <c r="L6" s="2" t="s">
        <v>197</v>
      </c>
      <c r="M6" s="2" t="s">
        <v>231</v>
      </c>
    </row>
    <row r="7" spans="1:13" x14ac:dyDescent="0.3">
      <c r="A7" s="2" t="s">
        <v>612</v>
      </c>
      <c r="B7" s="6">
        <v>46199</v>
      </c>
      <c r="C7" s="2">
        <v>2</v>
      </c>
      <c r="D7" s="2">
        <v>3</v>
      </c>
      <c r="E7" s="2">
        <v>170</v>
      </c>
      <c r="F7" s="7">
        <v>50</v>
      </c>
      <c r="G7" s="3">
        <v>560</v>
      </c>
      <c r="H7" s="7">
        <f t="shared" si="0"/>
        <v>8500</v>
      </c>
      <c r="I7" s="3">
        <f t="shared" si="1"/>
        <v>95200</v>
      </c>
      <c r="J7" s="2" t="s">
        <v>613</v>
      </c>
      <c r="K7" s="2" t="s">
        <v>240</v>
      </c>
      <c r="L7" s="2" t="s">
        <v>197</v>
      </c>
      <c r="M7" s="2" t="s">
        <v>231</v>
      </c>
    </row>
  </sheetData>
  <dataValidations count="3">
    <dataValidation type="list" sqref="C2:C57" xr:uid="{00000000-0002-0000-1B00-000000000000}">
      <formula1>SupplierID_List</formula1>
    </dataValidation>
    <dataValidation type="list" sqref="D2:D57" xr:uid="{00000000-0002-0000-1B00-000001000000}">
      <formula1>FeedID_List</formula1>
    </dataValidation>
    <dataValidation type="list" sqref="K2:K57" xr:uid="{00000000-0002-0000-1B00-000002000000}">
      <formula1>List_PaymentMethod</formula1>
    </dataValidation>
  </dataValidations>
  <pageMargins left="0.75" right="0.75" top="1" bottom="1" header="0.5" footer="0.5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>
    <tabColor rgb="FFBF8F00"/>
  </sheetPr>
  <dimension ref="A1:H4"/>
  <sheetViews>
    <sheetView showGridLines="0" workbookViewId="0"/>
  </sheetViews>
  <sheetFormatPr defaultRowHeight="14.4" x14ac:dyDescent="0.3"/>
  <cols>
    <col min="1" max="1" width="10" customWidth="1"/>
    <col min="2" max="3" width="16" customWidth="1"/>
    <col min="4" max="4" width="14" customWidth="1"/>
    <col min="5" max="5" width="12" customWidth="1"/>
    <col min="6" max="7" width="14" customWidth="1"/>
    <col min="8" max="8" width="12" customWidth="1"/>
  </cols>
  <sheetData>
    <row r="1" spans="1:8" x14ac:dyDescent="0.3">
      <c r="A1" s="11" t="s">
        <v>127</v>
      </c>
      <c r="B1" s="11" t="s">
        <v>614</v>
      </c>
      <c r="C1" s="11" t="s">
        <v>615</v>
      </c>
      <c r="D1" s="11" t="s">
        <v>616</v>
      </c>
      <c r="E1" s="11" t="s">
        <v>617</v>
      </c>
      <c r="F1" s="11" t="s">
        <v>618</v>
      </c>
      <c r="G1" s="11" t="s">
        <v>132</v>
      </c>
      <c r="H1" s="11" t="s">
        <v>21</v>
      </c>
    </row>
    <row r="2" spans="1:8" x14ac:dyDescent="0.3">
      <c r="A2" s="2">
        <f>IFERROR(INDEX(mst_FeedTypes[FeedID],ROW()-1),"")</f>
        <v>1</v>
      </c>
      <c r="B2" s="2" t="str">
        <f>IF($A2="","",INDEX(mst_FeedTypes[FeedName],MATCH($A2,mst_FeedTypes[FeedID],0)))</f>
        <v>Starter Mash</v>
      </c>
      <c r="C2" s="7">
        <f>IF($A2="","",0)</f>
        <v>0</v>
      </c>
      <c r="D2" s="7">
        <f>IF($A2="","",SUMIFS(reg_FeedPurchases[TotalWeightKg],reg_FeedPurchases[FeedID],$A2))</f>
        <v>5350</v>
      </c>
      <c r="E2" s="7">
        <f>IF($A2="","",SUMIFS(reg_FeedConsumption[KgUsed],reg_FeedConsumption[FeedID],$A2))</f>
        <v>4662</v>
      </c>
      <c r="F2" s="7">
        <f>IF($A2="","",$C2+$D2-$E2)</f>
        <v>688</v>
      </c>
      <c r="G2" s="7">
        <f>IF($A2="","",INDEX(mst_FeedTypes[MinStockKg],MATCH($A2,mst_FeedTypes[FeedID],0)))</f>
        <v>300</v>
      </c>
      <c r="H2" s="2" t="str">
        <f>IF($A2="","",IF($F2&lt;$G2,"LOW STOCK","OK"))</f>
        <v>OK</v>
      </c>
    </row>
    <row r="3" spans="1:8" x14ac:dyDescent="0.3">
      <c r="A3" s="2">
        <f>IFERROR(INDEX(mst_FeedTypes[FeedID],ROW()-1),"")</f>
        <v>2</v>
      </c>
      <c r="B3" s="2" t="str">
        <f>IF($A3="","",INDEX(mst_FeedTypes[FeedName],MATCH($A3,mst_FeedTypes[FeedID],0)))</f>
        <v>Grower Mash</v>
      </c>
      <c r="C3" s="7">
        <f>IF($A3="","",0)</f>
        <v>0</v>
      </c>
      <c r="D3" s="7">
        <f>IF($A3="","",SUMIFS(reg_FeedPurchases[TotalWeightKg],reg_FeedPurchases[FeedID],$A3))</f>
        <v>17250</v>
      </c>
      <c r="E3" s="7">
        <f>IF($A3="","",SUMIFS(reg_FeedConsumption[KgUsed],reg_FeedConsumption[FeedID],$A3))</f>
        <v>14976</v>
      </c>
      <c r="F3" s="7">
        <f>IF($A3="","",$C3+$D3-$E3)</f>
        <v>2274</v>
      </c>
      <c r="G3" s="7">
        <f>IF($A3="","",INDEX(mst_FeedTypes[MinStockKg],MATCH($A3,mst_FeedTypes[FeedID],0)))</f>
        <v>400</v>
      </c>
      <c r="H3" s="2" t="str">
        <f>IF($A3="","",IF($F3&lt;$G3,"LOW STOCK","OK"))</f>
        <v>OK</v>
      </c>
    </row>
    <row r="4" spans="1:8" x14ac:dyDescent="0.3">
      <c r="A4" s="2">
        <f>IFERROR(INDEX(mst_FeedTypes[FeedID],ROW()-1),"")</f>
        <v>3</v>
      </c>
      <c r="B4" s="2" t="str">
        <f>IF($A4="","",INDEX(mst_FeedTypes[FeedName],MATCH($A4,mst_FeedTypes[FeedID],0)))</f>
        <v>Finisher Mash</v>
      </c>
      <c r="C4" s="7">
        <f>IF($A4="","",0)</f>
        <v>0</v>
      </c>
      <c r="D4" s="7">
        <f>IF($A4="","",SUMIFS(reg_FeedPurchases[TotalWeightKg],reg_FeedPurchases[FeedID],$A4))</f>
        <v>21250</v>
      </c>
      <c r="E4" s="7">
        <f>IF($A4="","",SUMIFS(reg_FeedConsumption[KgUsed],reg_FeedConsumption[FeedID],$A4))</f>
        <v>18480</v>
      </c>
      <c r="F4" s="7">
        <f>IF($A4="","",$C4+$D4-$E4)</f>
        <v>2770</v>
      </c>
      <c r="G4" s="7">
        <f>IF($A4="","",INDEX(mst_FeedTypes[MinStockKg],MATCH($A4,mst_FeedTypes[FeedID],0)))</f>
        <v>400</v>
      </c>
      <c r="H4" s="2" t="str">
        <f>IF($A4="","",IF($F4&lt;$G4,"LOW STOCK","OK"))</f>
        <v>OK</v>
      </c>
    </row>
  </sheetData>
  <pageMargins left="0.75" right="0.75" top="1" bottom="1" header="0.5" footer="0.5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>
    <tabColor rgb="FF548235"/>
  </sheetPr>
  <dimension ref="A1:N7"/>
  <sheetViews>
    <sheetView showGridLines="0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2" customWidth="1"/>
    <col min="2" max="2" width="10" customWidth="1"/>
    <col min="3" max="4" width="12" customWidth="1"/>
    <col min="5" max="6" width="14" customWidth="1"/>
    <col min="7" max="7" width="16" customWidth="1"/>
    <col min="8" max="8" width="14" customWidth="1"/>
    <col min="9" max="9" width="12" customWidth="1"/>
    <col min="10" max="11" width="14" customWidth="1"/>
    <col min="12" max="12" width="16" customWidth="1"/>
    <col min="13" max="13" width="14" customWidth="1"/>
    <col min="14" max="14" width="10" customWidth="1"/>
  </cols>
  <sheetData>
    <row r="1" spans="1:14" ht="26.4" x14ac:dyDescent="0.3">
      <c r="A1" s="5" t="s">
        <v>266</v>
      </c>
      <c r="B1" s="5" t="s">
        <v>257</v>
      </c>
      <c r="C1" s="5" t="s">
        <v>180</v>
      </c>
      <c r="D1" s="5" t="s">
        <v>139</v>
      </c>
      <c r="E1" s="5" t="s">
        <v>619</v>
      </c>
      <c r="F1" s="5" t="s">
        <v>620</v>
      </c>
      <c r="G1" s="5" t="s">
        <v>621</v>
      </c>
      <c r="H1" s="5" t="s">
        <v>622</v>
      </c>
      <c r="I1" s="5" t="s">
        <v>623</v>
      </c>
      <c r="J1" s="5" t="s">
        <v>390</v>
      </c>
      <c r="K1" s="5" t="s">
        <v>601</v>
      </c>
      <c r="L1" s="5" t="s">
        <v>11</v>
      </c>
      <c r="M1" s="5" t="s">
        <v>271</v>
      </c>
      <c r="N1" s="5" t="s">
        <v>272</v>
      </c>
    </row>
    <row r="2" spans="1:14" x14ac:dyDescent="0.3">
      <c r="A2" s="2" t="s">
        <v>624</v>
      </c>
      <c r="B2" s="2" t="s">
        <v>261</v>
      </c>
      <c r="C2" s="2">
        <v>1</v>
      </c>
      <c r="D2" s="2">
        <v>3</v>
      </c>
      <c r="E2" s="2" t="s">
        <v>625</v>
      </c>
      <c r="F2" s="6">
        <v>46447</v>
      </c>
      <c r="G2" s="7">
        <v>600</v>
      </c>
      <c r="H2" s="7">
        <v>600</v>
      </c>
      <c r="I2" s="7">
        <f t="shared" ref="I2:I7" si="0">$G2-$H2</f>
        <v>0</v>
      </c>
      <c r="J2" s="3">
        <v>0</v>
      </c>
      <c r="K2" s="3">
        <f t="shared" ref="K2:K7" si="1">ROUND($G2*$J2,2)</f>
        <v>0</v>
      </c>
      <c r="L2" s="2" t="str">
        <f ca="1">IF(TODAY()&gt;$F2,"EXPIRED",IF($F2-TODAY()&lt;=INDEX(mst_Settings[Value],MATCH("MedicineExpiryWarningDays",mst_Settings[Parameter],0)),"EXPIRING SOON","OK"))</f>
        <v>OK</v>
      </c>
      <c r="M2" s="2" t="s">
        <v>197</v>
      </c>
      <c r="N2" s="2" t="s">
        <v>231</v>
      </c>
    </row>
    <row r="3" spans="1:14" x14ac:dyDescent="0.3">
      <c r="A3" s="2" t="s">
        <v>626</v>
      </c>
      <c r="B3" s="2" t="s">
        <v>261</v>
      </c>
      <c r="C3" s="2">
        <v>2</v>
      </c>
      <c r="D3" s="2">
        <v>3</v>
      </c>
      <c r="E3" s="2" t="s">
        <v>627</v>
      </c>
      <c r="F3" s="6">
        <v>46407</v>
      </c>
      <c r="G3" s="7">
        <v>500</v>
      </c>
      <c r="H3" s="7">
        <v>500</v>
      </c>
      <c r="I3" s="7">
        <f t="shared" si="0"/>
        <v>0</v>
      </c>
      <c r="J3" s="3">
        <v>1.2</v>
      </c>
      <c r="K3" s="3">
        <f t="shared" si="1"/>
        <v>600</v>
      </c>
      <c r="L3" s="2" t="str">
        <f ca="1">IF(TODAY()&gt;$F3,"EXPIRED",IF($F3-TODAY()&lt;=INDEX(mst_Settings[Value],MATCH("MedicineExpiryWarningDays",mst_Settings[Parameter],0)),"EXPIRING SOON","OK"))</f>
        <v>OK</v>
      </c>
      <c r="M3" s="2" t="s">
        <v>197</v>
      </c>
      <c r="N3" s="2" t="s">
        <v>231</v>
      </c>
    </row>
    <row r="4" spans="1:14" x14ac:dyDescent="0.3">
      <c r="A4" s="2" t="s">
        <v>628</v>
      </c>
      <c r="B4" s="2" t="s">
        <v>263</v>
      </c>
      <c r="C4" s="2">
        <v>3</v>
      </c>
      <c r="D4" s="2">
        <v>3</v>
      </c>
      <c r="E4" s="2" t="s">
        <v>629</v>
      </c>
      <c r="F4" s="6">
        <v>46371</v>
      </c>
      <c r="G4" s="7">
        <v>1000</v>
      </c>
      <c r="H4" s="7">
        <v>350</v>
      </c>
      <c r="I4" s="7">
        <f t="shared" si="0"/>
        <v>650</v>
      </c>
      <c r="J4" s="3">
        <v>0.85</v>
      </c>
      <c r="K4" s="3">
        <f t="shared" si="1"/>
        <v>850</v>
      </c>
      <c r="L4" s="2" t="str">
        <f ca="1">IF(TODAY()&gt;$F4,"EXPIRED",IF($F4-TODAY()&lt;=INDEX(mst_Settings[Value],MATCH("MedicineExpiryWarningDays",mst_Settings[Parameter],0)),"EXPIRING SOON","OK"))</f>
        <v>OK</v>
      </c>
      <c r="M4" s="2" t="s">
        <v>199</v>
      </c>
      <c r="N4" s="2" t="s">
        <v>231</v>
      </c>
    </row>
    <row r="5" spans="1:14" x14ac:dyDescent="0.3">
      <c r="A5" s="2" t="s">
        <v>630</v>
      </c>
      <c r="B5" s="2" t="s">
        <v>263</v>
      </c>
      <c r="C5" s="2">
        <v>1</v>
      </c>
      <c r="D5" s="2">
        <v>3</v>
      </c>
      <c r="E5" s="2" t="s">
        <v>631</v>
      </c>
      <c r="F5" s="6">
        <v>46548</v>
      </c>
      <c r="G5" s="7">
        <v>600</v>
      </c>
      <c r="H5" s="7">
        <v>0</v>
      </c>
      <c r="I5" s="7">
        <f t="shared" si="0"/>
        <v>600</v>
      </c>
      <c r="J5" s="3">
        <v>0</v>
      </c>
      <c r="K5" s="3">
        <f t="shared" si="1"/>
        <v>0</v>
      </c>
      <c r="L5" s="2" t="str">
        <f ca="1">IF(TODAY()&gt;$F5,"EXPIRED",IF($F5-TODAY()&lt;=INDEX(mst_Settings[Value],MATCH("MedicineExpiryWarningDays",mst_Settings[Parameter],0)),"EXPIRING SOON","OK"))</f>
        <v>OK</v>
      </c>
      <c r="M5" s="2" t="s">
        <v>197</v>
      </c>
      <c r="N5" s="2" t="s">
        <v>231</v>
      </c>
    </row>
    <row r="6" spans="1:14" x14ac:dyDescent="0.3">
      <c r="A6" s="2" t="s">
        <v>632</v>
      </c>
      <c r="B6" s="2" t="s">
        <v>264</v>
      </c>
      <c r="C6" s="2">
        <v>1</v>
      </c>
      <c r="D6" s="2">
        <v>3</v>
      </c>
      <c r="E6" s="2" t="s">
        <v>633</v>
      </c>
      <c r="F6" s="6">
        <v>46588</v>
      </c>
      <c r="G6" s="7">
        <v>500</v>
      </c>
      <c r="H6" s="7">
        <v>500</v>
      </c>
      <c r="I6" s="7">
        <f t="shared" si="0"/>
        <v>0</v>
      </c>
      <c r="J6" s="3">
        <v>0</v>
      </c>
      <c r="K6" s="3">
        <f t="shared" si="1"/>
        <v>0</v>
      </c>
      <c r="L6" s="2" t="str">
        <f ca="1">IF(TODAY()&gt;$F6,"EXPIRED",IF($F6-TODAY()&lt;=INDEX(mst_Settings[Value],MATCH("MedicineExpiryWarningDays",mst_Settings[Parameter],0)),"EXPIRING SOON","OK"))</f>
        <v>OK</v>
      </c>
      <c r="M6" s="2" t="s">
        <v>197</v>
      </c>
      <c r="N6" s="2" t="s">
        <v>231</v>
      </c>
    </row>
    <row r="7" spans="1:14" x14ac:dyDescent="0.3">
      <c r="A7" s="2" t="s">
        <v>634</v>
      </c>
      <c r="B7" s="2" t="s">
        <v>265</v>
      </c>
      <c r="C7" s="2">
        <v>1</v>
      </c>
      <c r="D7" s="2">
        <v>3</v>
      </c>
      <c r="E7" s="2" t="s">
        <v>635</v>
      </c>
      <c r="F7" s="6">
        <v>46614</v>
      </c>
      <c r="G7" s="7">
        <v>600</v>
      </c>
      <c r="H7" s="7">
        <v>600</v>
      </c>
      <c r="I7" s="7">
        <f t="shared" si="0"/>
        <v>0</v>
      </c>
      <c r="J7" s="3">
        <v>0</v>
      </c>
      <c r="K7" s="3">
        <f t="shared" si="1"/>
        <v>0</v>
      </c>
      <c r="L7" s="2" t="str">
        <f ca="1">IF(TODAY()&gt;$F7,"EXPIRED",IF($F7-TODAY()&lt;=INDEX(mst_Settings[Value],MATCH("MedicineExpiryWarningDays",mst_Settings[Parameter],0)),"EXPIRING SOON","OK"))</f>
        <v>OK</v>
      </c>
      <c r="M7" s="2" t="s">
        <v>197</v>
      </c>
      <c r="N7" s="2" t="s">
        <v>231</v>
      </c>
    </row>
  </sheetData>
  <dataValidations count="3">
    <dataValidation type="list" sqref="B2:B57" xr:uid="{00000000-0002-0000-1D00-000000000000}">
      <formula1>FlockID_List</formula1>
    </dataValidation>
    <dataValidation type="list" sqref="C2:C57" xr:uid="{00000000-0002-0000-1D00-000001000000}">
      <formula1>ProductID_List</formula1>
    </dataValidation>
    <dataValidation type="list" sqref="D2:D57" xr:uid="{00000000-0002-0000-1D00-000002000000}">
      <formula1>SupplierID_List</formula1>
    </dataValidation>
  </dataValidations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19</vt:i4>
      </vt:variant>
    </vt:vector>
  </HeadingPairs>
  <TitlesOfParts>
    <vt:vector size="48" baseType="lpstr">
      <vt:lpstr>Dashboard</vt:lpstr>
      <vt:lpstr>Menu_Nav</vt:lpstr>
      <vt:lpstr>mst_Houses</vt:lpstr>
      <vt:lpstr>mst_Breeds</vt:lpstr>
      <vt:lpstr>mst_FeedTypes</vt:lpstr>
      <vt:lpstr>mst_Suppliers</vt:lpstr>
      <vt:lpstr>mst_Customers</vt:lpstr>
      <vt:lpstr>mst_Vaccines_Meds</vt:lpstr>
      <vt:lpstr>mst_Users</vt:lpstr>
      <vt:lpstr>mst_Settings</vt:lpstr>
      <vt:lpstr>mst_Lists</vt:lpstr>
      <vt:lpstr>reg_Flocks</vt:lpstr>
      <vt:lpstr>reg_DailyMortality</vt:lpstr>
      <vt:lpstr>reg_FeedConsumption</vt:lpstr>
      <vt:lpstr>reg_WeeklyWeights</vt:lpstr>
      <vt:lpstr>reg_Vaccination_Health</vt:lpstr>
      <vt:lpstr>reg_Sales_Dispatch</vt:lpstr>
      <vt:lpstr>reg_Expenses</vt:lpstr>
      <vt:lpstr>reg_EnvironmentReadings</vt:lpstr>
      <vt:lpstr>reg_OtherIncome</vt:lpstr>
      <vt:lpstr>calc_KPI_Engine</vt:lpstr>
      <vt:lpstr>rpt_FlockPerformance</vt:lpstr>
      <vt:lpstr>rpt_FinancialSummary</vt:lpstr>
      <vt:lpstr>rpt_MortalityTrend</vt:lpstr>
      <vt:lpstr>mst_Employees</vt:lpstr>
      <vt:lpstr>reg_DailyRoutine</vt:lpstr>
      <vt:lpstr>reg_FeedPurchases</vt:lpstr>
      <vt:lpstr>calc_FeedStockSummary</vt:lpstr>
      <vt:lpstr>reg_MedicineStock</vt:lpstr>
      <vt:lpstr>BreedID_List</vt:lpstr>
      <vt:lpstr>CustomerID_List</vt:lpstr>
      <vt:lpstr>EmployeeID_List</vt:lpstr>
      <vt:lpstr>FeedID_List</vt:lpstr>
      <vt:lpstr>FlockID_List</vt:lpstr>
      <vt:lpstr>HouseID_List</vt:lpstr>
      <vt:lpstr>List_ExpenseCategory</vt:lpstr>
      <vt:lpstr>List_LitterCondition</vt:lpstr>
      <vt:lpstr>List_MortalityCause</vt:lpstr>
      <vt:lpstr>List_PaymentMethod</vt:lpstr>
      <vt:lpstr>List_VaccinationRoute</vt:lpstr>
      <vt:lpstr>List_Ventilation</vt:lpstr>
      <vt:lpstr>List_YesNo</vt:lpstr>
      <vt:lpstr>rpt_FinancialSummary!Print_Area</vt:lpstr>
      <vt:lpstr>rpt_FlockPerformance!Print_Area</vt:lpstr>
      <vt:lpstr>rpt_MortalityTrend!Print_Area</vt:lpstr>
      <vt:lpstr>ProductID_List</vt:lpstr>
      <vt:lpstr>SupplierID_List</vt:lpstr>
      <vt:lpstr>UserName_List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HP</cp:lastModifiedBy>
  <dcterms:created xsi:type="dcterms:W3CDTF">2026-08-10T06:53:42Z</dcterms:created>
  <dcterms:modified xsi:type="dcterms:W3CDTF">2026-08-14T21:55:01Z</dcterms:modified>
</cp:coreProperties>
</file>